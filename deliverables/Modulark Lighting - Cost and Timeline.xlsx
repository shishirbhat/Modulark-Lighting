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st and Timeline" sheetId="2" state="visible" r:id="rId2"/>
    <sheet name="Budget Summary" sheetId="3" state="visible" r:id="rId3"/>
    <sheet name="Hard Deadlines" sheetId="4" state="visible" r:id="rId4"/>
    <sheet name="Action Plan" sheetId="5" state="visible" r:id="rId5"/>
  </sheets>
  <definedNames>
    <definedName name="_xlnm._FilterDatabase" localSheetId="1" hidden="1">'Cost and Timeline'!$A$1:$O$42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;(&quot;₹&quot;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CE4E4"/>
      </patternFill>
    </fill>
    <fill>
      <patternFill patternType="solid">
        <fgColor rgb="00D9E2F3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6" borderId="0" pivotButton="0" quotePrefix="0" xfId="0"/>
    <xf numFmtId="164" fontId="3" fillId="6" borderId="0" pivotButton="0" quotePrefix="0" xfId="0"/>
    <xf numFmtId="0" fontId="4" fillId="3" borderId="0" pivotButton="0" quotePrefix="0" xfId="0"/>
    <xf numFmtId="164" fontId="2" fillId="0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Modulark Lighting — Cost and Timeline for Filings and Certifications</t>
        </is>
      </c>
    </row>
    <row r="2">
      <c r="A2" s="2" t="inlineStr">
        <is>
          <t>Modulark Tech Labs Pvt Ltd · lighting hardware division · prepared 22 September 2026</t>
        </is>
      </c>
    </row>
    <row r="3">
      <c r="A3" s="2" t="inlineStr"/>
    </row>
    <row r="4">
      <c r="A4" s="3" t="inlineStr">
        <is>
          <t>NOT LEGAL ADVICE</t>
        </is>
      </c>
    </row>
    <row r="5">
      <c r="A5" s="2" t="inlineStr">
        <is>
          <t>Working document to brief a registered patent agent and a company secretary. Every material figure must be</t>
        </is>
      </c>
    </row>
    <row r="6">
      <c r="A6" s="2" t="inlineStr">
        <is>
          <t>confirmed with them before it is relied on or committed to.</t>
        </is>
      </c>
    </row>
    <row r="7">
      <c r="A7" s="2" t="inlineStr"/>
    </row>
    <row r="8">
      <c r="A8" s="3" t="inlineStr">
        <is>
          <t>SOURCING LIMITATION — READ THIS BEFORE USING ANY NUMBER</t>
        </is>
      </c>
    </row>
    <row r="9">
      <c r="A9" s="2" t="inlineStr">
        <is>
          <t>The research behind this file was produced in an environment whose network proxy blocked every primary legal</t>
        </is>
      </c>
    </row>
    <row r="10">
      <c r="A10" s="2" t="inlineStr">
        <is>
          <t>source: indiacode.nic.in (bare Acts), indiankanoon.org (case law), ipindia.gov.in, bis.gov.in, crsbis.in,</t>
        </is>
      </c>
    </row>
    <row r="11">
      <c r="A11" s="2" t="inlineStr">
        <is>
          <t>meity.gov.in, egazette.gov.in, cpcb.nic.in, rbi.org.in and the WIPO fee tables. Nothing was read in original</t>
        </is>
      </c>
    </row>
    <row r="12">
      <c r="A12" s="2" t="inlineStr">
        <is>
          <t>text. Figures come from search-engine extracts of those sources plus law-firm and compliance commentary.</t>
        </is>
      </c>
    </row>
    <row r="13">
      <c r="A13" s="2" t="inlineStr">
        <is>
          <t>Where no citable figure could be obtained, the cell is left blank and marked NOT SOURCED. No number in this</t>
        </is>
      </c>
    </row>
    <row r="14">
      <c r="A14" s="2" t="inlineStr">
        <is>
          <t>workbook has been invented to fill a gap.</t>
        </is>
      </c>
    </row>
    <row r="15">
      <c r="A15" s="2" t="inlineStr"/>
    </row>
    <row r="16">
      <c r="A16" s="4" t="inlineStr">
        <is>
          <t>HOW TO READ THE SOURCING COLUMN</t>
        </is>
      </c>
    </row>
    <row r="17">
      <c r="A17" s="2" t="inlineStr">
        <is>
          <t>Sourced        A citable secondary figure exists. Still verify against the current official fee schedule.</t>
        </is>
      </c>
    </row>
    <row r="18">
      <c r="A18" s="2" t="inlineStr">
        <is>
          <t>CONFLICT       Sources disagree. Do not budget on either figure until settled. Highlighted amber.</t>
        </is>
      </c>
    </row>
    <row r="19">
      <c r="A19" s="2" t="inlineStr">
        <is>
          <t>NOT SOURCED    No citable figure was obtainable. Cell left blank deliberately. Highlighted red.</t>
        </is>
      </c>
    </row>
    <row r="20">
      <c r="A20" s="2" t="inlineStr"/>
    </row>
    <row r="21">
      <c r="A21" s="4" t="inlineStr">
        <is>
          <t>THE SINGLE BIGGEST COST LEVER</t>
        </is>
      </c>
    </row>
    <row r="22">
      <c r="A22" s="2" t="inlineStr">
        <is>
          <t>A private limited company is NOT a 'natural person' under the Patents Rules and pays roughly 5x on official</t>
        </is>
      </c>
    </row>
    <row r="23">
      <c r="A23" s="2" t="inlineStr">
        <is>
          <t>fees. DPIIT Startup recognition and/or Udyam MSME registration moves you to the reduced slab. It is free, and</t>
        </is>
      </c>
    </row>
    <row r="24">
      <c r="A24" s="2" t="inlineStr">
        <is>
          <t>the certificate must be in hand AT THE TIME OF FILING — Form 28 for patents, Form 24 for designs. Do it first.</t>
        </is>
      </c>
    </row>
    <row r="25">
      <c r="A25" s="2" t="inlineStr"/>
    </row>
    <row r="26">
      <c r="A26" s="4" t="inlineStr">
        <is>
          <t>TOTALS ARE INDICATIVE ONLY</t>
        </is>
      </c>
    </row>
    <row r="27">
      <c r="A27" s="2" t="inlineStr">
        <is>
          <t>The Budget Summary tab sums only the rows where a figure was obtainable. Because several significant items are</t>
        </is>
      </c>
    </row>
    <row r="28">
      <c r="A28" s="2" t="inlineStr">
        <is>
          <t>NOT SOURCED — product liability insurance, injection mould tooling, trademark attorney fees, customs brokerage,</t>
        </is>
      </c>
    </row>
    <row r="29">
      <c r="A29" s="2" t="inlineStr">
        <is>
          <t>BIS consultant fees — the true programme cost is materially HIGHER than any total shown here.</t>
        </is>
      </c>
    </row>
    <row r="30">
      <c r="A30" s="2" t="inlineStr"/>
    </row>
    <row r="31">
      <c r="A31" s="4" t="inlineStr">
        <is>
          <t>TABS</t>
        </is>
      </c>
    </row>
    <row r="32">
      <c r="A32" s="2" t="inlineStr">
        <is>
          <t>Cost and Timeline    Every filing and certification, with fees, timing and sourcing status.</t>
        </is>
      </c>
    </row>
    <row r="33">
      <c r="A33" s="2" t="inlineStr">
        <is>
          <t>Budget Summary     Totals by category, calculated from the Cost and Timeline tab.</t>
        </is>
      </c>
    </row>
    <row r="34">
      <c r="A34" s="2" t="inlineStr">
        <is>
          <t>Hard Deadlines     Dates that destroy rights if missed. Read this one first.</t>
        </is>
      </c>
    </row>
    <row r="35">
      <c r="A35" s="2" t="inlineStr">
        <is>
          <t>Action Plan        Priority-ordered tasks with owner and status columns for you to fill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4" customWidth="1" min="9" max="9"/>
    <col width="14" customWidth="1" min="10" max="10"/>
    <col width="26" customWidth="1" min="11" max="11"/>
    <col width="28" customWidth="1" min="12" max="12"/>
    <col width="13" customWidth="1" min="13" max="13"/>
    <col width="78" customWidth="1" min="14" max="14"/>
    <col width="16" customWidth="1" min="15" max="15"/>
  </cols>
  <sheetData>
    <row r="1" ht="42" customHeight="1">
      <c r="A1" s="5" t="inlineStr">
        <is>
          <t>Phase</t>
        </is>
      </c>
      <c r="B1" s="5" t="inlineStr">
        <is>
          <t>Category</t>
        </is>
      </c>
      <c r="C1" s="5" t="inlineStr">
        <is>
          <t>Item</t>
        </is>
      </c>
      <c r="D1" s="5" t="inlineStr">
        <is>
          <t>Official fee low (reduced slab)</t>
        </is>
      </c>
      <c r="E1" s="5" t="inlineStr">
        <is>
          <t>Official fee high (reduced slab)</t>
        </is>
      </c>
      <c r="F1" s="5" t="inlineStr">
        <is>
          <t>Official fee (large entity)</t>
        </is>
      </c>
      <c r="G1" s="5" t="inlineStr">
        <is>
          <t>Professional fee low</t>
        </is>
      </c>
      <c r="H1" s="5" t="inlineStr">
        <is>
          <t>Professional fee high</t>
        </is>
      </c>
      <c r="I1" s="5" t="inlineStr">
        <is>
          <t>Est. total low</t>
        </is>
      </c>
      <c r="J1" s="5" t="inlineStr">
        <is>
          <t>Est. total high</t>
        </is>
      </c>
      <c r="K1" s="5" t="inlineStr">
        <is>
          <t>Timing / elapsed</t>
        </is>
      </c>
      <c r="L1" s="5" t="inlineStr">
        <is>
          <t>Deadline trigger</t>
        </is>
      </c>
      <c r="M1" s="5" t="inlineStr">
        <is>
          <t>Sourcing</t>
        </is>
      </c>
      <c r="N1" s="5" t="inlineStr">
        <is>
          <t>Notes</t>
        </is>
      </c>
      <c r="O1" s="5" t="inlineStr">
        <is>
          <t>In headline total?</t>
        </is>
      </c>
    </row>
    <row r="2">
      <c r="A2" s="6" t="n">
        <v>1</v>
      </c>
      <c r="B2" s="6" t="inlineStr">
        <is>
          <t>Patent</t>
        </is>
      </c>
      <c r="C2" s="7" t="inlineStr">
        <is>
          <t>Provisional specification (Form 1, &lt;=30pp, &lt;=10 claims)</t>
        </is>
      </c>
      <c r="D2" s="8" t="n">
        <v>1600</v>
      </c>
      <c r="E2" s="8" t="n">
        <v>1600</v>
      </c>
      <c r="F2" s="8" t="n">
        <v>8000</v>
      </c>
      <c r="G2" s="8" t="n">
        <v>25000</v>
      </c>
      <c r="H2" s="8" t="n">
        <v>60000</v>
      </c>
      <c r="I2" s="8">
        <f>IF(COUNT(D2,G2)=0,"",SUM(D2,G2))</f>
        <v/>
      </c>
      <c r="J2" s="8">
        <f>IF(COUNT(E2,H2)=0,"",SUM(E2,H2))</f>
        <v/>
      </c>
      <c r="K2" s="6" t="inlineStr">
        <is>
          <t>Days to file</t>
        </is>
      </c>
      <c r="L2" s="6" t="inlineStr">
        <is>
          <t>File before ANY disclosure</t>
        </is>
      </c>
      <c r="M2" s="7" t="inlineStr">
        <is>
          <t>Sourced</t>
        </is>
      </c>
      <c r="N2" s="6" t="inlineStr">
        <is>
          <t>Commodity market is Rs 6k-12k. That buys a thin provisional that will not hold the priority date for this invention.</t>
        </is>
      </c>
      <c r="O2" s="7" t="inlineStr">
        <is>
          <t>Yes</t>
        </is>
      </c>
    </row>
    <row r="3">
      <c r="A3" s="6" t="n">
        <v>2</v>
      </c>
      <c r="B3" s="6" t="inlineStr">
        <is>
          <t>Patent</t>
        </is>
      </c>
      <c r="C3" s="7" t="inlineStr">
        <is>
          <t>Complete specification</t>
        </is>
      </c>
      <c r="D3" s="8" t="n">
        <v>1600</v>
      </c>
      <c r="E3" s="8" t="n">
        <v>1600</v>
      </c>
      <c r="F3" s="8" t="n">
        <v>8000</v>
      </c>
      <c r="G3" s="8" t="n">
        <v>60000</v>
      </c>
      <c r="H3" s="8" t="n">
        <v>120000</v>
      </c>
      <c r="I3" s="8">
        <f>IF(COUNT(D3,G3)=0,"",SUM(D3,G3))</f>
        <v/>
      </c>
      <c r="J3" s="8">
        <f>IF(COUNT(E3,H3)=0,"",SUM(E3,H3))</f>
        <v/>
      </c>
      <c r="K3" s="6" t="inlineStr">
        <is>
          <t>Within 12 months of provisional</t>
        </is>
      </c>
      <c r="L3" s="6" t="inlineStr">
        <is>
          <t>ABSOLUTE - provisional + 12 months</t>
        </is>
      </c>
      <c r="M3" s="7" t="inlineStr">
        <is>
          <t>Sourced</t>
        </is>
      </c>
      <c r="N3" s="6" t="inlineStr">
        <is>
          <t>Includes drawings. No extension, no condonation, no post-dating.</t>
        </is>
      </c>
      <c r="O3" s="7" t="inlineStr">
        <is>
          <t>Yes</t>
        </is>
      </c>
    </row>
    <row r="4">
      <c r="A4" s="6" t="n">
        <v>2</v>
      </c>
      <c r="B4" s="6" t="inlineStr">
        <is>
          <t>Patent</t>
        </is>
      </c>
      <c r="C4" s="7" t="inlineStr">
        <is>
          <t>Request for Examination (Form 18)</t>
        </is>
      </c>
      <c r="D4" s="8" t="n">
        <v>4000</v>
      </c>
      <c r="E4" s="8" t="n">
        <v>4000</v>
      </c>
      <c r="F4" s="8" t="n">
        <v>20000</v>
      </c>
      <c r="G4" s="8" t="n"/>
      <c r="H4" s="8" t="n"/>
      <c r="I4" s="8">
        <f>IF(COUNT(D4,G4)=0,"",SUM(D4,G4))</f>
        <v/>
      </c>
      <c r="J4" s="8">
        <f>IF(COUNT(E4,H4)=0,"",SUM(E4,H4))</f>
        <v/>
      </c>
      <c r="K4" s="6" t="inlineStr">
        <is>
          <t>Due by 31 months from priority</t>
        </is>
      </c>
      <c r="L4" s="6" t="inlineStr">
        <is>
          <t>Priority + 31 months</t>
        </is>
      </c>
      <c r="M4" s="7" t="inlineStr">
        <is>
          <t>Sourced</t>
        </is>
      </c>
      <c r="N4" s="6" t="inlineStr">
        <is>
          <t>Cut from 48 to 31 months by the Patents (Amendment) Rules 2024 for filings on/after 15 Mar 2024.</t>
        </is>
      </c>
      <c r="O4" s="7" t="inlineStr">
        <is>
          <t>Yes</t>
        </is>
      </c>
    </row>
    <row r="5">
      <c r="A5" s="6" t="n">
        <v>2</v>
      </c>
      <c r="B5" s="6" t="inlineStr">
        <is>
          <t>Patent</t>
        </is>
      </c>
      <c r="C5" s="7" t="inlineStr">
        <is>
          <t>Expedited Examination (Form 18A)</t>
        </is>
      </c>
      <c r="D5" s="8" t="n">
        <v>8000</v>
      </c>
      <c r="E5" s="8" t="n">
        <v>8000</v>
      </c>
      <c r="F5" s="8" t="n">
        <v>60000</v>
      </c>
      <c r="G5" s="8" t="n"/>
      <c r="H5" s="8" t="n"/>
      <c r="I5" s="8">
        <f>IF(COUNT(D5,G5)=0,"",SUM(D5,G5))</f>
        <v/>
      </c>
      <c r="J5" s="8">
        <f>IF(COUNT(E5,H5)=0,"",SUM(E5,H5))</f>
        <v/>
      </c>
      <c r="K5" s="6" t="inlineStr">
        <is>
          <t>FER in 1-3 months vs 12-24 ordinary</t>
        </is>
      </c>
      <c r="L5" s="6" t="inlineStr">
        <is>
          <t>Optional, recommended</t>
        </is>
      </c>
      <c r="M5" s="7" t="inlineStr">
        <is>
          <t>Sourced</t>
        </is>
      </c>
      <c r="N5" s="6" t="inlineStr">
        <is>
          <t>Available to DPIIT startups. Converts a 3-5 year grant into 1-2 years.</t>
        </is>
      </c>
      <c r="O5" s="7" t="inlineStr">
        <is>
          <t>Yes</t>
        </is>
      </c>
    </row>
    <row r="6">
      <c r="A6" s="6" t="n">
        <v>2</v>
      </c>
      <c r="B6" s="6" t="inlineStr">
        <is>
          <t>Patent</t>
        </is>
      </c>
      <c r="C6" s="7" t="inlineStr">
        <is>
          <t>Early Publication (Form 9)</t>
        </is>
      </c>
      <c r="D6" s="8" t="n">
        <v>2500</v>
      </c>
      <c r="E6" s="8" t="n">
        <v>2500</v>
      </c>
      <c r="F6" s="8" t="n">
        <v>12500</v>
      </c>
      <c r="G6" s="8" t="n"/>
      <c r="H6" s="8" t="n"/>
      <c r="I6" s="8">
        <f>IF(COUNT(D6,G6)=0,"",SUM(D6,G6))</f>
        <v/>
      </c>
      <c r="J6" s="8">
        <f>IF(COUNT(E6,H6)=0,"",SUM(E6,H6))</f>
        <v/>
      </c>
      <c r="K6" s="6" t="inlineStr">
        <is>
          <t>Publishes in ~1 month vs 18</t>
        </is>
      </c>
      <c r="L6" s="6" t="inlineStr">
        <is>
          <t>Optional, recommended</t>
        </is>
      </c>
      <c r="M6" s="7" t="inlineStr">
        <is>
          <t>Sourced</t>
        </is>
      </c>
      <c r="N6" s="6" t="inlineStr">
        <is>
          <t>Pair with Form 18A. Cost delta of both is roughly Rs 6,500.</t>
        </is>
      </c>
      <c r="O6" s="7" t="inlineStr">
        <is>
          <t>Yes</t>
        </is>
      </c>
    </row>
    <row r="7">
      <c r="A7" s="6" t="n">
        <v>2</v>
      </c>
      <c r="B7" s="6" t="inlineStr">
        <is>
          <t>Patent</t>
        </is>
      </c>
      <c r="C7" s="7" t="inlineStr">
        <is>
          <t>First Examination Report response</t>
        </is>
      </c>
      <c r="D7" s="8" t="n"/>
      <c r="E7" s="8" t="n"/>
      <c r="F7" s="8" t="n"/>
      <c r="G7" s="8" t="n">
        <v>25000</v>
      </c>
      <c r="H7" s="8" t="n">
        <v>60000</v>
      </c>
      <c r="I7" s="8">
        <f>IF(COUNT(D7,G7)=0,"",SUM(D7,G7))</f>
        <v/>
      </c>
      <c r="J7" s="8">
        <f>IF(COUNT(E7,H7)=0,"",SUM(E7,H7))</f>
        <v/>
      </c>
      <c r="K7" s="6" t="inlineStr">
        <is>
          <t>6 months to respond, +3 extendable</t>
        </is>
      </c>
      <c r="L7" s="6" t="inlineStr">
        <is>
          <t>On receipt of FER</t>
        </is>
      </c>
      <c r="M7" s="7" t="inlineStr">
        <is>
          <t>Sourced</t>
        </is>
      </c>
      <c r="N7" s="6" t="inlineStr">
        <is>
          <t>Expect a Section 3(k) objection cycle.</t>
        </is>
      </c>
      <c r="O7" s="7" t="inlineStr">
        <is>
          <t>Yes</t>
        </is>
      </c>
    </row>
    <row r="8">
      <c r="A8" s="6" t="n">
        <v>2</v>
      </c>
      <c r="B8" s="6" t="inlineStr">
        <is>
          <t>Patent</t>
        </is>
      </c>
      <c r="C8" s="7" t="inlineStr">
        <is>
          <t>Extension of RFE-type deadlines (2024 Rules)</t>
        </is>
      </c>
      <c r="D8" s="8" t="n"/>
      <c r="E8" s="8" t="n"/>
      <c r="F8" s="8" t="n">
        <v>50000</v>
      </c>
      <c r="G8" s="8" t="n"/>
      <c r="H8" s="8" t="n"/>
      <c r="I8" s="8">
        <f>IF(COUNT(D8,G8)=0,"",SUM(D8,G8))</f>
        <v/>
      </c>
      <c r="J8" s="8">
        <f>IF(COUNT(E8,H8)=0,"",SUM(E8,H8))</f>
        <v/>
      </c>
      <c r="K8" s="6" t="inlineStr">
        <is>
          <t>Per month</t>
        </is>
      </c>
      <c r="L8" s="6" t="inlineStr">
        <is>
          <t>Avoid</t>
        </is>
      </c>
      <c r="M8" s="7" t="inlineStr">
        <is>
          <t>Sourced</t>
        </is>
      </c>
      <c r="N8" s="6" t="inlineStr">
        <is>
          <t>Rs 50,000 PER MONTH. Treat deadlines as absolute.  [Excluded from headline total: Penalty to avoid, not a planned spend]</t>
        </is>
      </c>
      <c r="O8" s="9" t="inlineStr">
        <is>
          <t>No</t>
        </is>
      </c>
    </row>
    <row r="9">
      <c r="A9" s="6" t="n">
        <v>2</v>
      </c>
      <c r="B9" s="6" t="inlineStr">
        <is>
          <t>Patent</t>
        </is>
      </c>
      <c r="C9" s="7" t="inlineStr">
        <is>
          <t>Foreign Filing Licence (Form 25)</t>
        </is>
      </c>
      <c r="D9" s="8" t="n"/>
      <c r="E9" s="8" t="n"/>
      <c r="F9" s="8" t="n"/>
      <c r="G9" s="8" t="n"/>
      <c r="H9" s="8" t="n"/>
      <c r="I9" s="8">
        <f>IF(COUNT(D9,G9)=0,"",SUM(D9,G9))</f>
        <v/>
      </c>
      <c r="J9" s="8">
        <f>IF(COUNT(E9,H9)=0,"",SUM(E9,H9))</f>
        <v/>
      </c>
      <c r="K9" s="6" t="inlineStr">
        <is>
          <t>~3 weeks reported, unverified</t>
        </is>
      </c>
      <c r="L9" s="6" t="inlineStr">
        <is>
          <t>Before any foreign filing</t>
        </is>
      </c>
      <c r="M9" s="10" t="inlineStr">
        <is>
          <t>NOT SOURCED</t>
        </is>
      </c>
      <c r="N9" s="6" t="inlineStr">
        <is>
          <t>Alternative: file in India first and wait 6 weeks. Section 39 breach is CRIMINAL - s.118, up to 2 years.</t>
        </is>
      </c>
      <c r="O9" s="7" t="inlineStr">
        <is>
          <t>Yes</t>
        </is>
      </c>
    </row>
    <row r="10">
      <c r="A10" s="6" t="n">
        <v>3</v>
      </c>
      <c r="B10" s="6" t="inlineStr">
        <is>
          <t>Patent</t>
        </is>
      </c>
      <c r="C10" s="7" t="inlineStr">
        <is>
          <t>PCT international filing fee</t>
        </is>
      </c>
      <c r="D10" s="8" t="n"/>
      <c r="E10" s="8" t="n"/>
      <c r="F10" s="8" t="n"/>
      <c r="G10" s="8" t="n"/>
      <c r="H10" s="8" t="n"/>
      <c r="I10" s="8">
        <f>IF(COUNT(D10,G10)=0,"",SUM(D10,G10))</f>
        <v/>
      </c>
      <c r="J10" s="8">
        <f>IF(COUNT(E10,H10)=0,"",SUM(E10,H10))</f>
        <v/>
      </c>
      <c r="K10" s="6" t="inlineStr">
        <is>
          <t>By 12 months from priority</t>
        </is>
      </c>
      <c r="L10" s="6" t="inlineStr">
        <is>
          <t>Provisional + 12 months</t>
        </is>
      </c>
      <c r="M10" s="11" t="inlineStr">
        <is>
          <t>CONFLICT</t>
        </is>
      </c>
      <c r="N10" s="6" t="inlineStr">
        <is>
          <t>USD 1,471 vs USD 1,667 from the same publisher. Set in CHF so it moves. The WIPO 90% reduction is for natural persons resident in India ONLY - not companies, startups or MSMEs.</t>
        </is>
      </c>
      <c r="O10" s="7" t="inlineStr">
        <is>
          <t>Yes</t>
        </is>
      </c>
    </row>
    <row r="11">
      <c r="A11" s="6" t="n">
        <v>3</v>
      </c>
      <c r="B11" s="6" t="inlineStr">
        <is>
          <t>Patent</t>
        </is>
      </c>
      <c r="C11" s="7" t="inlineStr">
        <is>
          <t>PCT search fee - IPO as ISA</t>
        </is>
      </c>
      <c r="D11" s="8" t="n">
        <v>2500</v>
      </c>
      <c r="E11" s="8" t="n">
        <v>2500</v>
      </c>
      <c r="F11" s="8" t="n">
        <v>10000</v>
      </c>
      <c r="G11" s="8" t="n"/>
      <c r="H11" s="8" t="n"/>
      <c r="I11" s="8">
        <f>IF(COUNT(D11,G11)=0,"",SUM(D11,G11))</f>
        <v/>
      </c>
      <c r="J11" s="8">
        <f>IF(COUNT(E11,H11)=0,"",SUM(E11,H11))</f>
        <v/>
      </c>
      <c r="K11" s="6" t="inlineStr">
        <is>
          <t>With PCT filing</t>
        </is>
      </c>
      <c r="L11" s="6" t="inlineStr">
        <is>
          <t>-</t>
        </is>
      </c>
      <c r="M11" s="7" t="inlineStr">
        <is>
          <t>Sourced</t>
        </is>
      </c>
      <c r="N11" s="6" t="inlineStr">
        <is>
          <t>Cheapest option but weaker search quality in control-systems art.</t>
        </is>
      </c>
      <c r="O11" s="7" t="inlineStr">
        <is>
          <t>Yes</t>
        </is>
      </c>
    </row>
    <row r="12">
      <c r="A12" s="6" t="n">
        <v>3</v>
      </c>
      <c r="B12" s="6" t="inlineStr">
        <is>
          <t>Patent</t>
        </is>
      </c>
      <c r="C12" s="7" t="inlineStr">
        <is>
          <t>PCT search fee - EPO as ISA</t>
        </is>
      </c>
      <c r="D12" s="8" t="n"/>
      <c r="E12" s="8" t="n"/>
      <c r="F12" s="8" t="n"/>
      <c r="G12" s="8" t="n"/>
      <c r="H12" s="8" t="n"/>
      <c r="I12" s="8">
        <f>IF(COUNT(D12,G12)=0,"",SUM(D12,G12))</f>
        <v/>
      </c>
      <c r="J12" s="8">
        <f>IF(COUNT(E12,H12)=0,"",SUM(E12,H12))</f>
        <v/>
      </c>
      <c r="K12" s="6" t="inlineStr">
        <is>
          <t>With PCT filing</t>
        </is>
      </c>
      <c r="L12" s="6" t="inlineStr">
        <is>
          <t>-</t>
        </is>
      </c>
      <c r="M12" s="10" t="inlineStr">
        <is>
          <t>NOT SOURCED</t>
        </is>
      </c>
      <c r="N12" s="6" t="inlineStr">
        <is>
          <t>Order of a thousand-plus euros. Worth paying for: your fight is inventive step over dense Signify/Lutron art.</t>
        </is>
      </c>
      <c r="O12" s="7" t="inlineStr">
        <is>
          <t>Yes</t>
        </is>
      </c>
    </row>
    <row r="13">
      <c r="A13" s="6" t="n">
        <v>3</v>
      </c>
      <c r="B13" s="6" t="inlineStr">
        <is>
          <t>Patent</t>
        </is>
      </c>
      <c r="C13" s="7" t="inlineStr">
        <is>
          <t>PCT transmittal fee (IPO as Receiving Office)</t>
        </is>
      </c>
      <c r="D13" s="8" t="n"/>
      <c r="E13" s="8" t="n"/>
      <c r="F13" s="8" t="n"/>
      <c r="G13" s="8" t="n"/>
      <c r="H13" s="8" t="n"/>
      <c r="I13" s="8">
        <f>IF(COUNT(D13,G13)=0,"",SUM(D13,G13))</f>
        <v/>
      </c>
      <c r="J13" s="8">
        <f>IF(COUNT(E13,H13)=0,"",SUM(E13,H13))</f>
        <v/>
      </c>
      <c r="K13" s="6" t="inlineStr">
        <is>
          <t>With PCT filing</t>
        </is>
      </c>
      <c r="L13" s="6" t="inlineStr">
        <is>
          <t>-</t>
        </is>
      </c>
      <c r="M13" s="10" t="inlineStr">
        <is>
          <t>NOT SOURCED</t>
        </is>
      </c>
      <c r="N13" s="6" t="inlineStr">
        <is>
          <t>~Rs 3,200 / Rs 16,000 commonly cited, unconfirmed.</t>
        </is>
      </c>
      <c r="O13" s="7" t="inlineStr">
        <is>
          <t>Yes</t>
        </is>
      </c>
    </row>
    <row r="14">
      <c r="A14" s="6" t="n">
        <v>3</v>
      </c>
      <c r="B14" s="6" t="inlineStr">
        <is>
          <t>Patent</t>
        </is>
      </c>
      <c r="C14" s="7" t="inlineStr">
        <is>
          <t>PCT national phase entry, India</t>
        </is>
      </c>
      <c r="D14" s="8" t="n"/>
      <c r="E14" s="8" t="n"/>
      <c r="F14" s="8" t="n"/>
      <c r="G14" s="8" t="n"/>
      <c r="H14" s="8" t="n"/>
      <c r="I14" s="8">
        <f>IF(COUNT(D14,G14)=0,"",SUM(D14,G14))</f>
        <v/>
      </c>
      <c r="J14" s="8">
        <f>IF(COUNT(E14,H14)=0,"",SUM(E14,H14))</f>
        <v/>
      </c>
      <c r="K14" s="6" t="inlineStr">
        <is>
          <t>31 months</t>
        </is>
      </c>
      <c r="L14" s="6" t="inlineStr">
        <is>
          <t>Same date as RFE - docket as one</t>
        </is>
      </c>
      <c r="M14" s="7" t="inlineStr">
        <is>
          <t>Sourced</t>
        </is>
      </c>
      <c r="N14" s="6" t="inlineStr">
        <is>
          <t>The 2024 Rules merged these two deadlines.</t>
        </is>
      </c>
      <c r="O14" s="7" t="inlineStr">
        <is>
          <t>Yes</t>
        </is>
      </c>
    </row>
    <row r="15">
      <c r="A15" s="6" t="n">
        <v>2</v>
      </c>
      <c r="B15" s="6" t="inlineStr">
        <is>
          <t>Patent</t>
        </is>
      </c>
      <c r="C15" s="7" t="inlineStr">
        <is>
          <t>Assignment recordal (Form 16)</t>
        </is>
      </c>
      <c r="D15" s="8" t="n">
        <v>1600</v>
      </c>
      <c r="E15" s="8" t="n">
        <v>8000</v>
      </c>
      <c r="F15" s="8" t="n">
        <v>8000</v>
      </c>
      <c r="G15" s="8" t="n">
        <v>10000</v>
      </c>
      <c r="H15" s="8" t="n">
        <v>30000</v>
      </c>
      <c r="I15" s="8">
        <f>IF(COUNT(D15,G15)=0,"",SUM(D15,G15))</f>
        <v/>
      </c>
      <c r="J15" s="8">
        <f>IF(COUNT(E15,H15)=0,"",SUM(E15,H15))</f>
        <v/>
      </c>
      <c r="K15" s="6" t="inlineStr">
        <is>
          <t>-</t>
        </is>
      </c>
      <c r="L15" s="6" t="inlineStr">
        <is>
          <t>On any entity transfer</t>
        </is>
      </c>
      <c r="M15" s="7" t="inlineStr">
        <is>
          <t>Sourced</t>
        </is>
      </c>
      <c r="N15" s="6" t="inlineStr">
        <is>
          <t>Plus notarisation Rs 2,000-5,000. Avoid by filing in the right entity first time.</t>
        </is>
      </c>
      <c r="O15" s="7" t="inlineStr">
        <is>
          <t>Yes</t>
        </is>
      </c>
    </row>
    <row r="16">
      <c r="A16" s="6" t="n">
        <v>1</v>
      </c>
      <c r="B16" s="6" t="inlineStr">
        <is>
          <t>Patent</t>
        </is>
      </c>
      <c r="C16" s="7" t="inlineStr">
        <is>
          <t>Form 6 - pre-grant change of applicant</t>
        </is>
      </c>
      <c r="D16" s="8" t="n"/>
      <c r="E16" s="8" t="n"/>
      <c r="F16" s="8" t="n"/>
      <c r="G16" s="8" t="n"/>
      <c r="H16" s="8" t="n"/>
      <c r="I16" s="8">
        <f>IF(COUNT(D16,G16)=0,"",SUM(D16,G16))</f>
        <v/>
      </c>
      <c r="J16" s="8">
        <f>IF(COUNT(E16,H16)=0,"",SUM(E16,H16))</f>
        <v/>
      </c>
      <c r="K16" s="6" t="inlineStr">
        <is>
          <t>-</t>
        </is>
      </c>
      <c r="L16" s="6" t="inlineStr">
        <is>
          <t>-</t>
        </is>
      </c>
      <c r="M16" s="10" t="inlineStr">
        <is>
          <t>NOT SOURCED</t>
        </is>
      </c>
      <c r="N16" s="6" t="inlineStr">
        <is>
          <t>Not found in any source. Far cheaper and cleaner than post-grant Form 16. Check the First Schedule.</t>
        </is>
      </c>
      <c r="O16" s="7" t="inlineStr">
        <is>
          <t>Yes</t>
        </is>
      </c>
    </row>
    <row r="17">
      <c r="A17" s="6" t="n">
        <v>1</v>
      </c>
      <c r="B17" s="6" t="inlineStr">
        <is>
          <t>Design</t>
        </is>
      </c>
      <c r="C17" s="7" t="inlineStr">
        <is>
          <t>Design registration, per design</t>
        </is>
      </c>
      <c r="D17" s="8" t="n">
        <v>1000</v>
      </c>
      <c r="E17" s="8" t="n">
        <v>1000</v>
      </c>
      <c r="F17" s="8" t="n">
        <v>4000</v>
      </c>
      <c r="G17" s="8" t="n">
        <v>5000</v>
      </c>
      <c r="H17" s="8" t="n">
        <v>15000</v>
      </c>
      <c r="I17" s="8">
        <f>IF(COUNT(D17,G17)=0,"",SUM(D17,G17))</f>
        <v/>
      </c>
      <c r="J17" s="8">
        <f>IF(COUNT(E17,H17)=0,"",SUM(E17,H17))</f>
        <v/>
      </c>
      <c r="K17" s="6" t="inlineStr">
        <is>
          <t>Registration 3-10 months</t>
        </is>
      </c>
      <c r="L17" s="6" t="inlineStr">
        <is>
          <t>File BEFORE any disclosure</t>
        </is>
      </c>
      <c r="M17" s="11" t="inlineStr">
        <is>
          <t>CONFLICT</t>
        </is>
      </c>
      <c r="N17" s="6" t="inlineStr">
        <is>
          <t>One source self-inconsistently says Rs 2,000 for small entity. Optional search Rs 2,000-5,000. India has NO general grace period for designs.</t>
        </is>
      </c>
      <c r="O17" s="7" t="inlineStr">
        <is>
          <t>Yes</t>
        </is>
      </c>
    </row>
    <row r="18">
      <c r="A18" s="6" t="n">
        <v>1</v>
      </c>
      <c r="B18" s="6" t="inlineStr">
        <is>
          <t>Design</t>
        </is>
      </c>
      <c r="C18" s="7" t="inlineStr">
        <is>
          <t>Design, realistic all-in per design</t>
        </is>
      </c>
      <c r="D18" s="8" t="n"/>
      <c r="E18" s="8" t="n"/>
      <c r="F18" s="8" t="n"/>
      <c r="G18" s="8" t="n">
        <v>8000</v>
      </c>
      <c r="H18" s="8" t="n">
        <v>25000</v>
      </c>
      <c r="I18" s="8">
        <f>IF(COUNT(D18,G18)=0,"",SUM(D18,G18))</f>
        <v/>
      </c>
      <c r="J18" s="8">
        <f>IF(COUNT(E18,H18)=0,"",SUM(E18,H18))</f>
        <v/>
      </c>
      <c r="K18" s="6" t="inlineStr">
        <is>
          <t>Term 10 yrs + 5 = 15 max</t>
        </is>
      </c>
      <c r="L18" s="6" t="inlineStr">
        <is>
          <t>-</t>
        </is>
      </c>
      <c r="M18" s="7" t="inlineStr">
        <is>
          <t>Sourced</t>
        </is>
      </c>
      <c r="N18" s="6" t="inlineStr">
        <is>
          <t>File the assembled module, light head and wall disc as separate designs in Locarno 26-05.  [Excluded from headline total: Roll-up of rows already counted — would double count]</t>
        </is>
      </c>
      <c r="O18" s="9" t="inlineStr">
        <is>
          <t>No</t>
        </is>
      </c>
    </row>
    <row r="19">
      <c r="A19" s="6" t="n">
        <v>2</v>
      </c>
      <c r="B19" s="6" t="inlineStr">
        <is>
          <t>Design</t>
        </is>
      </c>
      <c r="C19" s="7" t="inlineStr">
        <is>
          <t>Design renewal (Form 3)</t>
        </is>
      </c>
      <c r="D19" s="8" t="n">
        <v>2000</v>
      </c>
      <c r="E19" s="8" t="n">
        <v>2000</v>
      </c>
      <c r="F19" s="8" t="n">
        <v>8000</v>
      </c>
      <c r="G19" s="8" t="n"/>
      <c r="H19" s="8" t="n"/>
      <c r="I19" s="8">
        <f>IF(COUNT(D19,G19)=0,"",SUM(D19,G19))</f>
        <v/>
      </c>
      <c r="J19" s="8">
        <f>IF(COUNT(E19,H19)=0,"",SUM(E19,H19))</f>
        <v/>
      </c>
      <c r="K19" s="6" t="inlineStr">
        <is>
          <t>Before expiry of year 10</t>
        </is>
      </c>
      <c r="L19" s="6" t="inlineStr">
        <is>
          <t>Year 10</t>
        </is>
      </c>
      <c r="M19" s="7" t="inlineStr">
        <is>
          <t>Sourced</t>
        </is>
      </c>
      <c r="N19" s="6" t="inlineStr">
        <is>
          <t>-  [Excluded from headline total: Recurring / volume-variable]</t>
        </is>
      </c>
      <c r="O19" s="9" t="inlineStr">
        <is>
          <t>No</t>
        </is>
      </c>
    </row>
    <row r="20">
      <c r="A20" s="6" t="n">
        <v>3</v>
      </c>
      <c r="B20" s="6" t="inlineStr">
        <is>
          <t>Trademark</t>
        </is>
      </c>
      <c r="C20" s="7" t="inlineStr">
        <is>
          <t>Trademark per class per mark (TM-A online)</t>
        </is>
      </c>
      <c r="D20" s="8" t="n">
        <v>4500</v>
      </c>
      <c r="E20" s="8" t="n">
        <v>4500</v>
      </c>
      <c r="F20" s="8" t="n">
        <v>9000</v>
      </c>
      <c r="G20" s="8" t="n"/>
      <c r="H20" s="8" t="n"/>
      <c r="I20" s="8">
        <f>IF(COUNT(D20,G20)=0,"",SUM(D20,G20))</f>
        <v/>
      </c>
      <c r="J20" s="8">
        <f>IF(COUNT(E20,H20)=0,"",SUM(E20,H20))</f>
        <v/>
      </c>
      <c r="K20" s="6" t="inlineStr">
        <is>
          <t>6-18 months uncontested</t>
        </is>
      </c>
      <c r="L20" s="6" t="inlineStr">
        <is>
          <t>-</t>
        </is>
      </c>
      <c r="M20" s="7" t="inlineStr">
        <is>
          <t>Sourced</t>
        </is>
      </c>
      <c r="N20" s="6" t="inlineStr">
        <is>
          <t>12-36 months if objected or opposed. Attorney fee NOT SOURCED.</t>
        </is>
      </c>
      <c r="O20" s="7" t="inlineStr">
        <is>
          <t>Yes</t>
        </is>
      </c>
    </row>
    <row r="21">
      <c r="A21" s="6" t="n">
        <v>3</v>
      </c>
      <c r="B21" s="6" t="inlineStr">
        <is>
          <t>Trademark</t>
        </is>
      </c>
      <c r="C21" s="7" t="inlineStr">
        <is>
          <t>MODULARK in Classes 9, 11 and 42</t>
        </is>
      </c>
      <c r="D21" s="8" t="n">
        <v>13500</v>
      </c>
      <c r="E21" s="8" t="n">
        <v>13500</v>
      </c>
      <c r="F21" s="8" t="n">
        <v>27000</v>
      </c>
      <c r="G21" s="8" t="n"/>
      <c r="H21" s="8" t="n"/>
      <c r="I21" s="8">
        <f>IF(COUNT(D21,G21)=0,"",SUM(D21,G21))</f>
        <v/>
      </c>
      <c r="J21" s="8">
        <f>IF(COUNT(E21,H21)=0,"",SUM(E21,H21))</f>
        <v/>
      </c>
      <c r="K21" s="6" t="inlineStr">
        <is>
          <t>Exam reply ~30 days</t>
        </is>
      </c>
      <c r="L21" s="6" t="inlineStr">
        <is>
          <t>TM-O opposition window 4 months</t>
        </is>
      </c>
      <c r="M21" s="7" t="inlineStr">
        <is>
          <t>Sourced</t>
        </is>
      </c>
      <c r="N21" s="6" t="inlineStr">
        <is>
          <t>Class 11 lighting, Class 9 electronics/sensors/batteries, Class 42 SaaS. A TM filing does not disclose the product - safe to run in parallel.</t>
        </is>
      </c>
      <c r="O21" s="7" t="inlineStr">
        <is>
          <t>Yes</t>
        </is>
      </c>
    </row>
    <row r="22">
      <c r="A22" s="6" t="n">
        <v>3</v>
      </c>
      <c r="B22" s="6" t="inlineStr">
        <is>
          <t>Trademark</t>
        </is>
      </c>
      <c r="C22" s="7" t="inlineStr">
        <is>
          <t>Objection response / opposition</t>
        </is>
      </c>
      <c r="D22" s="8" t="n"/>
      <c r="E22" s="8" t="n"/>
      <c r="F22" s="8" t="n"/>
      <c r="G22" s="8" t="n"/>
      <c r="H22" s="8" t="n"/>
      <c r="I22" s="8">
        <f>IF(COUNT(D22,G22)=0,"",SUM(D22,G22))</f>
        <v/>
      </c>
      <c r="J22" s="8">
        <f>IF(COUNT(E22,H22)=0,"",SUM(E22,H22))</f>
        <v/>
      </c>
      <c r="K22" s="6" t="inlineStr">
        <is>
          <t>Years if opposed</t>
        </is>
      </c>
      <c r="L22" s="6" t="inlineStr">
        <is>
          <t>-</t>
        </is>
      </c>
      <c r="M22" s="10" t="inlineStr">
        <is>
          <t>NOT SOURCED</t>
        </is>
      </c>
      <c r="N22" s="6" t="inlineStr">
        <is>
          <t>An opposed application can run to lakhs.</t>
        </is>
      </c>
      <c r="O22" s="7" t="inlineStr">
        <is>
          <t>Yes</t>
        </is>
      </c>
    </row>
    <row r="23">
      <c r="A23" s="6" t="n">
        <v>3</v>
      </c>
      <c r="B23" s="6" t="inlineStr">
        <is>
          <t>BIS</t>
        </is>
      </c>
      <c r="C23" s="7" t="inlineStr">
        <is>
          <t>BIS CRS, per registered model</t>
        </is>
      </c>
      <c r="D23" s="8" t="n">
        <v>15000</v>
      </c>
      <c r="E23" s="8" t="n">
        <v>25000</v>
      </c>
      <c r="F23" s="8" t="n"/>
      <c r="G23" s="8" t="n"/>
      <c r="H23" s="8" t="n"/>
      <c r="I23" s="8">
        <f>IF(COUNT(D23,G23)=0,"",SUM(D23,G23))</f>
        <v/>
      </c>
      <c r="J23" s="8">
        <f>IF(COUNT(E23,H23)=0,"",SUM(E23,H23))</f>
        <v/>
      </c>
      <c r="K23" s="6" t="inlineStr">
        <is>
          <t>Nominal 20-25 working days; realistic 45-60</t>
        </is>
      </c>
      <c r="L23" s="6" t="inlineStr">
        <is>
          <t>Before placing on market</t>
        </is>
      </c>
      <c r="M23" s="7" t="inlineStr">
        <is>
          <t>Sourced</t>
        </is>
      </c>
      <c r="N23" s="6" t="inlineStr">
        <is>
          <t>Rs 15,000 inclusion fee includes one test; Rs 10,000 per additional test report; testing Rs 10,000-30,000. Plan 3 months from design freeze.</t>
        </is>
      </c>
      <c r="O23" s="7" t="inlineStr">
        <is>
          <t>Yes</t>
        </is>
      </c>
    </row>
    <row r="24">
      <c r="A24" s="6" t="n">
        <v>3</v>
      </c>
      <c r="B24" s="6" t="inlineStr">
        <is>
          <t>BIS</t>
        </is>
      </c>
      <c r="C24" s="7" t="inlineStr">
        <is>
          <t>BIS CRS all-in per article</t>
        </is>
      </c>
      <c r="D24" s="8" t="n">
        <v>30000</v>
      </c>
      <c r="E24" s="8" t="n">
        <v>50000</v>
      </c>
      <c r="F24" s="8" t="n"/>
      <c r="G24" s="8" t="n"/>
      <c r="H24" s="8" t="n"/>
      <c r="I24" s="8">
        <f>IF(COUNT(D24,G24)=0,"",SUM(D24,G24))</f>
        <v/>
      </c>
      <c r="J24" s="8">
        <f>IF(COUNT(E24,H24)=0,"",SUM(E24,H24))</f>
        <v/>
      </c>
      <c r="K24" s="6" t="inlineStr">
        <is>
          <t>Validity 2 years</t>
        </is>
      </c>
      <c r="L24" s="6" t="inlineStr">
        <is>
          <t>-</t>
        </is>
      </c>
      <c r="M24" s="7" t="inlineStr">
        <is>
          <t>Sourced</t>
        </is>
      </c>
      <c r="N24" s="6" t="inlineStr">
        <is>
          <t>Rs 30,000-35,000 single product one test report; Rs 50,000+ complex.  [Excluded from headline total: Roll-up of rows already counted — would double count]</t>
        </is>
      </c>
      <c r="O24" s="9" t="inlineStr">
        <is>
          <t>No</t>
        </is>
      </c>
    </row>
    <row r="25">
      <c r="A25" s="6" t="n">
        <v>3</v>
      </c>
      <c r="B25" s="6" t="inlineStr">
        <is>
          <t>BIS</t>
        </is>
      </c>
      <c r="C25" s="7" t="inlineStr">
        <is>
          <t>BIS CRS renewal</t>
        </is>
      </c>
      <c r="D25" s="8" t="n">
        <v>25000</v>
      </c>
      <c r="E25" s="8" t="n">
        <v>25000</v>
      </c>
      <c r="F25" s="8" t="n"/>
      <c r="G25" s="8" t="n"/>
      <c r="H25" s="8" t="n"/>
      <c r="I25" s="8">
        <f>IF(COUNT(D25,G25)=0,"",SUM(D25,G25))</f>
        <v/>
      </c>
      <c r="J25" s="8">
        <f>IF(COUNT(E25,H25)=0,"",SUM(E25,H25))</f>
        <v/>
      </c>
      <c r="K25" s="6" t="inlineStr">
        <is>
          <t>Apply &gt;=3 months before expiry</t>
        </is>
      </c>
      <c r="L25" s="6" t="inlineStr">
        <is>
          <t>Every 2 years</t>
        </is>
      </c>
      <c r="M25" s="7" t="inlineStr">
        <is>
          <t>Sourced</t>
        </is>
      </c>
      <c r="N25" s="6" t="inlineStr">
        <is>
          <t>-  [Excluded from headline total: Recurring / volume-variable]</t>
        </is>
      </c>
      <c r="O25" s="9" t="inlineStr">
        <is>
          <t>No</t>
        </is>
      </c>
    </row>
    <row r="26">
      <c r="A26" s="6" t="n">
        <v>3</v>
      </c>
      <c r="B26" s="6" t="inlineStr">
        <is>
          <t>BIS</t>
        </is>
      </c>
      <c r="C26" s="7" t="inlineStr">
        <is>
          <t>Series mechanism - THE COST LEVER</t>
        </is>
      </c>
      <c r="D26" s="8" t="n"/>
      <c r="E26" s="8" t="n"/>
      <c r="F26" s="8" t="n"/>
      <c r="G26" s="8" t="n"/>
      <c r="H26" s="8" t="n"/>
      <c r="I26" s="8">
        <f>IF(COUNT(D26,G26)=0,"",SUM(D26,G26))</f>
        <v/>
      </c>
      <c r="J26" s="8">
        <f>IF(COUNT(E26,H26)=0,"",SUM(E26,H26))</f>
        <v/>
      </c>
      <c r="K26" s="6" t="inlineStr">
        <is>
          <t>-</t>
        </is>
      </c>
      <c r="L26" s="6" t="inlineStr">
        <is>
          <t>Design decision, not a filing</t>
        </is>
      </c>
      <c r="M26" s="7" t="inlineStr">
        <is>
          <t>Sourced</t>
        </is>
      </c>
      <c r="N26" s="6" t="inlineStr">
        <is>
          <t>Up to 10 models per registration (50 for fixed general-purpose fancy lights). Design the product family so variants are models within ONE series.  [Excluded from headline total: Design decision, not a filing]</t>
        </is>
      </c>
      <c r="O26" s="9" t="inlineStr">
        <is>
          <t>No</t>
        </is>
      </c>
    </row>
    <row r="27">
      <c r="A27" s="6" t="n">
        <v>3</v>
      </c>
      <c r="B27" s="6" t="inlineStr">
        <is>
          <t>Radio</t>
        </is>
      </c>
      <c r="C27" s="7" t="inlineStr">
        <is>
          <t>WPC ETA-SD, per model</t>
        </is>
      </c>
      <c r="D27" s="8" t="n">
        <v>10000</v>
      </c>
      <c r="E27" s="8" t="n">
        <v>10000</v>
      </c>
      <c r="F27" s="8" t="n">
        <v>10000</v>
      </c>
      <c r="G27" s="8" t="n"/>
      <c r="H27" s="8" t="n"/>
      <c r="I27" s="8">
        <f>IF(COUNT(D27,G27)=0,"",SUM(D27,G27))</f>
        <v/>
      </c>
      <c r="J27" s="8">
        <f>IF(COUNT(E27,H27)=0,"",SUM(E27,H27))</f>
        <v/>
      </c>
      <c r="K27" s="6" t="inlineStr">
        <is>
          <t>1-7 working days</t>
        </is>
      </c>
      <c r="L27" s="6" t="inlineStr">
        <is>
          <t>Before import or sale</t>
        </is>
      </c>
      <c r="M27" s="7" t="inlineStr">
        <is>
          <t>Sourced</t>
        </is>
      </c>
      <c r="N27" s="6" t="inlineStr">
        <is>
          <t>Via Bharatkosh. No renewal under current 2026 guidance. Radio equipment imported without WPC permission is CONFISCATED at port.</t>
        </is>
      </c>
      <c r="O27" s="7" t="inlineStr">
        <is>
          <t>Yes</t>
        </is>
      </c>
    </row>
    <row r="28">
      <c r="A28" s="6" t="n">
        <v>3</v>
      </c>
      <c r="B28" s="6" t="inlineStr">
        <is>
          <t>Radio</t>
        </is>
      </c>
      <c r="C28" s="7" t="inlineStr">
        <is>
          <t>TEC MTCTE</t>
        </is>
      </c>
      <c r="D28" s="8" t="n"/>
      <c r="E28" s="8" t="n"/>
      <c r="F28" s="8" t="n"/>
      <c r="G28" s="8" t="n"/>
      <c r="H28" s="8" t="n"/>
      <c r="I28" s="8">
        <f>IF(COUNT(D28,G28)=0,"",SUM(D28,G28))</f>
        <v/>
      </c>
      <c r="J28" s="8">
        <f>IF(COUNT(E28,H28)=0,"",SUM(E28,H28))</f>
        <v/>
      </c>
      <c r="K28" s="6" t="inlineStr">
        <is>
          <t>-</t>
        </is>
      </c>
      <c r="L28" s="6" t="inlineStr">
        <is>
          <t>-</t>
        </is>
      </c>
      <c r="M28" s="7" t="inlineStr">
        <is>
          <t>Sourced</t>
        </is>
      </c>
      <c r="N28" s="6" t="inlineStr">
        <is>
          <t>Assessed as NOT APPLICABLE (endpoint, not gateway/CPE). Verify against the current phase list.</t>
        </is>
      </c>
      <c r="O28" s="7" t="inlineStr">
        <is>
          <t>Yes</t>
        </is>
      </c>
    </row>
    <row r="29">
      <c r="A29" s="6" t="n">
        <v>3</v>
      </c>
      <c r="B29" s="6" t="inlineStr">
        <is>
          <t>EPR</t>
        </is>
      </c>
      <c r="C29" s="7" t="inlineStr">
        <is>
          <t>E-waste EPR registration</t>
        </is>
      </c>
      <c r="D29" s="8" t="n">
        <v>10000</v>
      </c>
      <c r="E29" s="8" t="n">
        <v>10000</v>
      </c>
      <c r="F29" s="8" t="n">
        <v>10000</v>
      </c>
      <c r="G29" s="8" t="n"/>
      <c r="H29" s="8" t="n"/>
      <c r="I29" s="8">
        <f>IF(COUNT(D29,G29)=0,"",SUM(D29,G29))</f>
        <v/>
      </c>
      <c r="J29" s="8">
        <f>IF(COUNT(E29,H29)=0,"",SUM(E29,H29))</f>
        <v/>
      </c>
      <c r="K29" s="6" t="inlineStr">
        <is>
          <t>Annually renewable</t>
        </is>
      </c>
      <c r="L29" s="6" t="inlineStr">
        <is>
          <t>Before placing on market</t>
        </is>
      </c>
      <c r="M29" s="7" t="inlineStr">
        <is>
          <t>Sourced</t>
        </is>
      </c>
      <c r="N29" s="6" t="inlineStr">
        <is>
          <t>Rs 10,000 flat for a new producer. No turnover or volume exemption exists - the obligation attaches on the first unit sold.</t>
        </is>
      </c>
      <c r="O29" s="7" t="inlineStr">
        <is>
          <t>Yes</t>
        </is>
      </c>
    </row>
    <row r="30">
      <c r="A30" s="6" t="n">
        <v>3</v>
      </c>
      <c r="B30" s="6" t="inlineStr">
        <is>
          <t>EPR</t>
        </is>
      </c>
      <c r="C30" s="7" t="inlineStr">
        <is>
          <t>E-waste EPR certificates</t>
        </is>
      </c>
      <c r="D30" s="8" t="n"/>
      <c r="E30" s="8" t="n"/>
      <c r="F30" s="8" t="n"/>
      <c r="G30" s="8" t="n"/>
      <c r="H30" s="8" t="n"/>
      <c r="I30" s="8">
        <f>IF(COUNT(D30,G30)=0,"",SUM(D30,G30))</f>
        <v/>
      </c>
      <c r="J30" s="8">
        <f>IF(COUNT(E30,H30)=0,"",SUM(E30,H30))</f>
        <v/>
      </c>
      <c r="K30" s="6" t="inlineStr">
        <is>
          <t>Quarterly + annual returns</t>
        </is>
      </c>
      <c r="L30" s="6" t="inlineStr">
        <is>
          <t>Ongoing</t>
        </is>
      </c>
      <c r="M30" s="11" t="inlineStr">
        <is>
          <t>CONFLICT</t>
        </is>
      </c>
      <c r="N30" s="6" t="inlineStr">
        <is>
          <t>Rs 22-74/kg band for consumer electronics under CPCB 2024 guidelines. Band is under Delhi HC challenge, no final judgment as of mid-2026. Budget at the floor. New producer target: Schedule IV, 20% of sales two FYs prior.  [Excluded from headline total: Recurring / volume-variable]</t>
        </is>
      </c>
      <c r="O30" s="9" t="inlineStr">
        <is>
          <t>No</t>
        </is>
      </c>
    </row>
    <row r="31">
      <c r="A31" s="6" t="n">
        <v>3</v>
      </c>
      <c r="B31" s="6" t="inlineStr">
        <is>
          <t>EPR</t>
        </is>
      </c>
      <c r="C31" s="7" t="inlineStr">
        <is>
          <t>Battery EPR registration</t>
        </is>
      </c>
      <c r="D31" s="8" t="n">
        <v>2500</v>
      </c>
      <c r="E31" s="8" t="n">
        <v>2500</v>
      </c>
      <c r="F31" s="8" t="n">
        <v>2500</v>
      </c>
      <c r="G31" s="8" t="n"/>
      <c r="H31" s="8" t="n"/>
      <c r="I31" s="8">
        <f>IF(COUNT(D31,G31)=0,"",SUM(D31,G31))</f>
        <v/>
      </c>
      <c r="J31" s="8">
        <f>IF(COUNT(E31,H31)=0,"",SUM(E31,H31))</f>
        <v/>
      </c>
      <c r="K31" s="6" t="inlineStr">
        <is>
          <t>Annual Form 1C</t>
        </is>
      </c>
      <c r="L31" s="6" t="inlineStr">
        <is>
          <t>Before placing on market</t>
        </is>
      </c>
      <c r="M31" s="11" t="inlineStr">
        <is>
          <t>CONFLICT</t>
        </is>
      </c>
      <c r="N31" s="6" t="inlineStr">
        <is>
          <t>Rs 2,500 from a single commercial source - indicative only. SEPARATE regime, separate portal, separate calendar. Selling spare swap packs makes this unavoidable.</t>
        </is>
      </c>
      <c r="O31" s="7" t="inlineStr">
        <is>
          <t>Yes</t>
        </is>
      </c>
    </row>
    <row r="32">
      <c r="A32" s="6" t="n">
        <v>3</v>
      </c>
      <c r="B32" s="6" t="inlineStr">
        <is>
          <t>Metrology</t>
        </is>
      </c>
      <c r="C32" s="7" t="inlineStr">
        <is>
          <t>Legal Metrology Rule 27 registration</t>
        </is>
      </c>
      <c r="D32" s="8" t="n">
        <v>500</v>
      </c>
      <c r="E32" s="8" t="n">
        <v>500</v>
      </c>
      <c r="F32" s="8" t="n">
        <v>500</v>
      </c>
      <c r="G32" s="8" t="n"/>
      <c r="H32" s="8" t="n"/>
      <c r="I32" s="8">
        <f>IF(COUNT(D32,G32)=0,"",SUM(D32,G32))</f>
        <v/>
      </c>
      <c r="J32" s="8">
        <f>IF(COUNT(E32,H32)=0,"",SUM(E32,H32))</f>
        <v/>
      </c>
      <c r="K32" s="6" t="inlineStr">
        <is>
          <t>Within 90 days of pre-packing</t>
        </is>
      </c>
      <c r="L32" s="6" t="inlineStr">
        <is>
          <t>Commencement + 90 days</t>
        </is>
      </c>
      <c r="M32" s="7" t="inlineStr">
        <is>
          <t>Sourced</t>
        </is>
      </c>
      <c r="N32" s="6" t="inlineStr">
        <is>
          <t>Fine for late registration is trivial (Rs 4,000) but non-standard packages are Rs 25,000-1,00,000 per offence.</t>
        </is>
      </c>
      <c r="O32" s="7" t="inlineStr">
        <is>
          <t>Yes</t>
        </is>
      </c>
    </row>
    <row r="33">
      <c r="A33" s="6" t="n">
        <v>1</v>
      </c>
      <c r="B33" s="6" t="inlineStr">
        <is>
          <t>Corporate</t>
        </is>
      </c>
      <c r="C33" s="7" t="inlineStr">
        <is>
          <t>MOA objects alteration (MGT-14 + stamp duty)</t>
        </is>
      </c>
      <c r="D33" s="8" t="n">
        <v>300</v>
      </c>
      <c r="E33" s="8" t="n">
        <v>600</v>
      </c>
      <c r="F33" s="8" t="n">
        <v>600</v>
      </c>
      <c r="G33" s="8" t="n">
        <v>8000</v>
      </c>
      <c r="H33" s="8" t="n">
        <v>35000</v>
      </c>
      <c r="I33" s="8">
        <f>IF(COUNT(D33,G33)=0,"",SUM(D33,G33))</f>
        <v/>
      </c>
      <c r="J33" s="8">
        <f>IF(COUNT(E33,H33)=0,"",SUM(E33,H33))</f>
        <v/>
      </c>
      <c r="K33" s="6" t="inlineStr">
        <is>
          <t>2-3 weeks shorter notice; 5-6 on full</t>
        </is>
      </c>
      <c r="L33" s="6" t="inlineStr">
        <is>
          <t>MGT-14 within 30 days of resolution</t>
        </is>
      </c>
      <c r="M33" s="7" t="inlineStr">
        <is>
          <t>Sourced</t>
        </is>
      </c>
      <c r="N33" s="6" t="inlineStr">
        <is>
          <t>Stamp duty nil to ~Rs 1,000 in most states for an objects-only change - state-specific, confirm with your CS. Doubled fee if MGT-14 is late.</t>
        </is>
      </c>
      <c r="O33" s="7" t="inlineStr">
        <is>
          <t>Yes</t>
        </is>
      </c>
    </row>
    <row r="34">
      <c r="A34" s="6" t="n">
        <v>1</v>
      </c>
      <c r="B34" s="6" t="inlineStr">
        <is>
          <t>Corporate</t>
        </is>
      </c>
      <c r="C34" s="7" t="inlineStr">
        <is>
          <t>MOA alteration all-in</t>
        </is>
      </c>
      <c r="D34" s="8" t="n"/>
      <c r="E34" s="8" t="n"/>
      <c r="F34" s="8" t="n"/>
      <c r="G34" s="8" t="n">
        <v>15000</v>
      </c>
      <c r="H34" s="8" t="n">
        <v>50000</v>
      </c>
      <c r="I34" s="8">
        <f>IF(COUNT(D34,G34)=0,"",SUM(D34,G34))</f>
        <v/>
      </c>
      <c r="J34" s="8">
        <f>IF(COUNT(E34,H34)=0,"",SUM(E34,H34))</f>
        <v/>
      </c>
      <c r="K34" s="6" t="inlineStr">
        <is>
          <t>-</t>
        </is>
      </c>
      <c r="L34" s="6" t="inlineStr">
        <is>
          <t>-</t>
        </is>
      </c>
      <c r="M34" s="7" t="inlineStr">
        <is>
          <t>Sourced</t>
        </is>
      </c>
      <c r="N34" s="6" t="inlineStr">
        <is>
          <t>Central estimate Rs 20,000-25,000.  [Excluded from headline total: Roll-up of rows already counted — would double count]</t>
        </is>
      </c>
      <c r="O34" s="9" t="inlineStr">
        <is>
          <t>No</t>
        </is>
      </c>
    </row>
    <row r="35">
      <c r="A35" s="6" t="n">
        <v>1</v>
      </c>
      <c r="B35" s="6" t="inlineStr">
        <is>
          <t>Corporate</t>
        </is>
      </c>
      <c r="C35" s="7" t="inlineStr">
        <is>
          <t>Incorporating the hardware company (SPICe+)</t>
        </is>
      </c>
      <c r="D35" s="8" t="n"/>
      <c r="E35" s="8" t="n"/>
      <c r="F35" s="8" t="n"/>
      <c r="G35" s="8" t="n">
        <v>8000</v>
      </c>
      <c r="H35" s="8" t="n">
        <v>25000</v>
      </c>
      <c r="I35" s="8">
        <f>IF(COUNT(D35,G35)=0,"",SUM(D35,G35))</f>
        <v/>
      </c>
      <c r="J35" s="8">
        <f>IF(COUNT(E35,H35)=0,"",SUM(E35,H35))</f>
        <v/>
      </c>
      <c r="K35" s="6" t="inlineStr">
        <is>
          <t>Days to weeks</t>
        </is>
      </c>
      <c r="L35" s="6" t="inlineStr">
        <is>
          <t>Before first customer-facing activity</t>
        </is>
      </c>
      <c r="M35" s="7" t="inlineStr">
        <is>
          <t>Sourced</t>
        </is>
      </c>
      <c r="N35" s="6" t="inlineStr">
        <is>
          <t>Incorporate with a manufacturing objects clause and NIC code from the start.</t>
        </is>
      </c>
      <c r="O35" s="7" t="inlineStr">
        <is>
          <t>Yes</t>
        </is>
      </c>
    </row>
    <row r="36">
      <c r="A36" s="6" t="n">
        <v>3</v>
      </c>
      <c r="B36" s="6" t="inlineStr">
        <is>
          <t>Corporate</t>
        </is>
      </c>
      <c r="C36" s="7" t="inlineStr">
        <is>
          <t>Carrying an inactive second company</t>
        </is>
      </c>
      <c r="D36" s="8" t="n"/>
      <c r="E36" s="8" t="n"/>
      <c r="F36" s="8" t="n"/>
      <c r="G36" s="8" t="n">
        <v>40000</v>
      </c>
      <c r="H36" s="8" t="n">
        <v>75000</v>
      </c>
      <c r="I36" s="8">
        <f>IF(COUNT(D36,G36)=0,"",SUM(D36,G36))</f>
        <v/>
      </c>
      <c r="J36" s="8">
        <f>IF(COUNT(E36,H36)=0,"",SUM(E36,H36))</f>
        <v/>
      </c>
      <c r="K36" s="6" t="inlineStr">
        <is>
          <t>Annual</t>
        </is>
      </c>
      <c r="L36" s="6" t="inlineStr">
        <is>
          <t>Ongoing</t>
        </is>
      </c>
      <c r="M36" s="11" t="inlineStr">
        <is>
          <t>CONFLICT</t>
        </is>
      </c>
      <c r="N36" s="6" t="inlineStr">
        <is>
          <t>Rs 40,000-75,000 p.a. pre-revenue; Rs 1,00,000-2,00,000 p.a. once operating with GST. Market estimates, not sourced.  [Excluded from headline total: Recurring annual, not a one-off filing]</t>
        </is>
      </c>
      <c r="O36" s="9" t="inlineStr">
        <is>
          <t>No</t>
        </is>
      </c>
    </row>
    <row r="37">
      <c r="A37" s="6" t="n">
        <v>3</v>
      </c>
      <c r="B37" s="6" t="inlineStr">
        <is>
          <t>Corporate</t>
        </is>
      </c>
      <c r="C37" s="7" t="inlineStr">
        <is>
          <t>Stamp duty on IP assignment deed</t>
        </is>
      </c>
      <c r="D37" s="8" t="n"/>
      <c r="E37" s="8" t="n"/>
      <c r="F37" s="8" t="n"/>
      <c r="G37" s="8" t="n"/>
      <c r="H37" s="8" t="n"/>
      <c r="I37" s="8">
        <f>IF(COUNT(D37,G37)=0,"",SUM(D37,G37))</f>
        <v/>
      </c>
      <c r="J37" s="8">
        <f>IF(COUNT(E37,H37)=0,"",SUM(E37,H37))</f>
        <v/>
      </c>
      <c r="K37" s="6" t="inlineStr">
        <is>
          <t>-</t>
        </is>
      </c>
      <c r="L37" s="6" t="inlineStr">
        <is>
          <t>On any transfer</t>
        </is>
      </c>
      <c r="M37" s="7" t="inlineStr">
        <is>
          <t>Sourced</t>
        </is>
      </c>
      <c r="N37" s="6" t="inlineStr">
        <is>
          <t>0.5%-5% of consideration, state-specific.</t>
        </is>
      </c>
      <c r="O37" s="7" t="inlineStr">
        <is>
          <t>Yes</t>
        </is>
      </c>
    </row>
    <row r="38">
      <c r="A38" s="6" t="n">
        <v>3</v>
      </c>
      <c r="B38" s="6" t="inlineStr">
        <is>
          <t>Corporate</t>
        </is>
      </c>
      <c r="C38" s="7" t="inlineStr">
        <is>
          <t>NCLT demerger (the expensive late alternative)</t>
        </is>
      </c>
      <c r="D38" s="8" t="n"/>
      <c r="E38" s="8" t="n"/>
      <c r="F38" s="8" t="n"/>
      <c r="G38" s="8" t="n">
        <v>1000000</v>
      </c>
      <c r="H38" s="8" t="n">
        <v>3000000</v>
      </c>
      <c r="I38" s="8">
        <f>IF(COUNT(D38,G38)=0,"",SUM(D38,G38))</f>
        <v/>
      </c>
      <c r="J38" s="8">
        <f>IF(COUNT(E38,H38)=0,"",SUM(E38,H38))</f>
        <v/>
      </c>
      <c r="K38" s="6" t="inlineStr">
        <is>
          <t>9-18 months</t>
        </is>
      </c>
      <c r="L38" s="6" t="inlineStr">
        <is>
          <t>Avoid by structuring now</t>
        </is>
      </c>
      <c r="M38" s="10" t="inlineStr">
        <is>
          <t>NOT SOURCED</t>
        </is>
      </c>
      <c r="N38" s="6" t="inlineStr">
        <is>
          <t>Market estimate. This is what splitting later costs. The cheapest time to split is before there is anything to split.  [Excluded from headline total: Avoidable — this is the cost of NOT structuring now]</t>
        </is>
      </c>
      <c r="O38" s="9" t="inlineStr">
        <is>
          <t>No</t>
        </is>
      </c>
    </row>
    <row r="39">
      <c r="A39" s="6" t="n">
        <v>3</v>
      </c>
      <c r="B39" s="6" t="inlineStr">
        <is>
          <t>Other</t>
        </is>
      </c>
      <c r="C39" s="7" t="inlineStr">
        <is>
          <t>Product liability insurance</t>
        </is>
      </c>
      <c r="D39" s="8" t="n"/>
      <c r="E39" s="8" t="n"/>
      <c r="F39" s="8" t="n"/>
      <c r="G39" s="8" t="n"/>
      <c r="H39" s="8" t="n"/>
      <c r="I39" s="8">
        <f>IF(COUNT(D39,G39)=0,"",SUM(D39,G39))</f>
        <v/>
      </c>
      <c r="J39" s="8">
        <f>IF(COUNT(E39,H39)=0,"",SUM(E39,H39))</f>
        <v/>
      </c>
      <c r="K39" s="6" t="inlineStr">
        <is>
          <t>Quote before design freeze</t>
        </is>
      </c>
      <c r="L39" s="6" t="inlineStr">
        <is>
          <t>Before first sale</t>
        </is>
      </c>
      <c r="M39" s="10" t="inlineStr">
        <is>
          <t>NOT SOURCED</t>
        </is>
      </c>
      <c r="N39" s="6" t="inlineStr">
        <is>
          <t>No Indian premium figure for a lithium-battery electronics SME could be obtained and none is stated. Lithium exclusions are common. RECALL COST IS EXCLUDED from standard Indian policies.</t>
        </is>
      </c>
      <c r="O39" s="7" t="inlineStr">
        <is>
          <t>Yes</t>
        </is>
      </c>
    </row>
    <row r="40">
      <c r="A40" s="6" t="n">
        <v>3</v>
      </c>
      <c r="B40" s="6" t="inlineStr">
        <is>
          <t>Other</t>
        </is>
      </c>
      <c r="C40" s="7" t="inlineStr">
        <is>
          <t>Indian injection mould tooling</t>
        </is>
      </c>
      <c r="D40" s="8" t="n"/>
      <c r="E40" s="8" t="n"/>
      <c r="F40" s="8" t="n"/>
      <c r="G40" s="8" t="n"/>
      <c r="H40" s="8" t="n"/>
      <c r="I40" s="8">
        <f>IF(COUNT(D40,G40)=0,"",SUM(D40,G40))</f>
        <v/>
      </c>
      <c r="J40" s="8">
        <f>IF(COUNT(E40,H40)=0,"",SUM(E40,H40))</f>
        <v/>
      </c>
      <c r="K40" s="6" t="inlineStr">
        <is>
          <t>-</t>
        </is>
      </c>
      <c r="L40" s="6" t="inlineStr">
        <is>
          <t>If 3D printing fails certification</t>
        </is>
      </c>
      <c r="M40" s="10" t="inlineStr">
        <is>
          <t>NOT SOURCED</t>
        </is>
      </c>
      <c r="N40" s="6" t="inlineStr">
        <is>
          <t>-</t>
        </is>
      </c>
      <c r="O40" s="7" t="inlineStr">
        <is>
          <t>Yes</t>
        </is>
      </c>
    </row>
    <row r="41">
      <c r="A41" s="6" t="n">
        <v>3</v>
      </c>
      <c r="B41" s="6" t="inlineStr">
        <is>
          <t>Other</t>
        </is>
      </c>
      <c r="C41" s="7" t="inlineStr">
        <is>
          <t>Customs broker / CHA</t>
        </is>
      </c>
      <c r="D41" s="8" t="n"/>
      <c r="E41" s="8" t="n"/>
      <c r="F41" s="8" t="n"/>
      <c r="G41" s="8" t="n"/>
      <c r="H41" s="8" t="n"/>
      <c r="I41" s="8">
        <f>IF(COUNT(D41,G41)=0,"",SUM(D41,G41))</f>
        <v/>
      </c>
      <c r="J41" s="8">
        <f>IF(COUNT(E41,H41)=0,"",SUM(E41,H41))</f>
        <v/>
      </c>
      <c r="K41" s="6" t="inlineStr">
        <is>
          <t>-</t>
        </is>
      </c>
      <c r="L41" s="6" t="inlineStr">
        <is>
          <t>Per consignment</t>
        </is>
      </c>
      <c r="M41" s="10" t="inlineStr">
        <is>
          <t>NOT SOURCED</t>
        </is>
      </c>
      <c r="N41" s="6" t="inlineStr">
        <is>
          <t>-</t>
        </is>
      </c>
      <c r="O41" s="7" t="inlineStr">
        <is>
          <t>Yes</t>
        </is>
      </c>
    </row>
    <row r="42">
      <c r="A42" s="6" t="n">
        <v>3</v>
      </c>
      <c r="B42" s="6" t="inlineStr">
        <is>
          <t>Other</t>
        </is>
      </c>
      <c r="C42" s="7" t="inlineStr">
        <is>
          <t>CAAR customs advance ruling / s.97 CGST advance ruling</t>
        </is>
      </c>
      <c r="D42" s="8" t="n"/>
      <c r="E42" s="8" t="n"/>
      <c r="F42" s="8" t="n"/>
      <c r="G42" s="8" t="n"/>
      <c r="H42" s="8" t="n"/>
      <c r="I42" s="8">
        <f>IF(COUNT(D42,G42)=0,"",SUM(D42,G42))</f>
        <v/>
      </c>
      <c r="J42" s="8">
        <f>IF(COUNT(E42,H42)=0,"",SUM(E42,H42))</f>
        <v/>
      </c>
      <c r="K42" s="6" t="inlineStr">
        <is>
          <t>Before first consignment / before MRP set</t>
        </is>
      </c>
      <c r="L42" s="6" t="inlineStr">
        <is>
          <t>Before commercial import</t>
        </is>
      </c>
      <c r="M42" s="10" t="inlineStr">
        <is>
          <t>NOT SOURCED</t>
        </is>
      </c>
      <c r="N42" s="6" t="inlineStr">
        <is>
          <t>Cheap relative to the exposure. The GST rate on HSN 9405 is unresolved (5% vs 18%; 12% is stale).</t>
        </is>
      </c>
      <c r="O42" s="7" t="inlineStr">
        <is>
          <t>Yes</t>
        </is>
      </c>
    </row>
    <row r="44">
      <c r="C44" s="12" t="inlineStr">
        <is>
          <t>ONE-OFF PROGRAMME COST, SOURCED ITEMS ONLY — TRUE COST IS HIGHER</t>
        </is>
      </c>
      <c r="I44" s="13">
        <f>SUMIF($O$2:$O$42,"Yes",I2:I42)</f>
        <v/>
      </c>
      <c r="J44" s="13">
        <f>SUMIF($O$2:$O$42,"Yes",J2:J42)</f>
        <v/>
      </c>
    </row>
    <row r="45">
      <c r="C45" s="2" t="inlineStr">
        <is>
          <t>Counts only rows flagged Yes in column O. Excludes every NOT SOURCED row — product liability insurance, tooling, customs brokerage, BIS consultant and trademark attorney fees — and excludes renewals, EPR certificate purchases, the recurring second-company carrying cost, and the NCLT demerger.</t>
        </is>
      </c>
    </row>
  </sheetData>
  <autoFilter ref="A1:O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Budget Summary by Category</t>
        </is>
      </c>
    </row>
    <row r="2">
      <c r="A2" s="2" t="inlineStr">
        <is>
          <t>Calculated from the Cost and Timeline tab. Sourced rows only — see Read Me.</t>
        </is>
      </c>
    </row>
    <row r="4">
      <c r="A4" s="14" t="inlineStr">
        <is>
          <t>Category</t>
        </is>
      </c>
      <c r="B4" s="14" t="inlineStr">
        <is>
          <t>Est. total low</t>
        </is>
      </c>
      <c r="C4" s="14" t="inlineStr">
        <is>
          <t>Est. total high</t>
        </is>
      </c>
      <c r="D4" s="14" t="inlineStr">
        <is>
          <t>Line items</t>
        </is>
      </c>
    </row>
    <row r="5">
      <c r="A5" s="4" t="inlineStr">
        <is>
          <t>Patent</t>
        </is>
      </c>
      <c r="B5" s="15">
        <f>SUMIFS('Cost and Timeline'!$I$2:$I$42,'Cost and Timeline'!$B$2:$B$42,$A5,'Cost and Timeline'!$O$2:$O$42,"Yes")</f>
        <v/>
      </c>
      <c r="C5" s="15">
        <f>SUMIFS('Cost and Timeline'!$J$2:$J$42,'Cost and Timeline'!$B$2:$B$42,$A5,'Cost and Timeline'!$O$2:$O$42,"Yes")</f>
        <v/>
      </c>
      <c r="D5" s="2">
        <f>COUNTIF('Cost and Timeline'!$B$2:$B$42,$A5)</f>
        <v/>
      </c>
    </row>
    <row r="6">
      <c r="A6" s="4" t="inlineStr">
        <is>
          <t>Design</t>
        </is>
      </c>
      <c r="B6" s="15">
        <f>SUMIFS('Cost and Timeline'!$I$2:$I$42,'Cost and Timeline'!$B$2:$B$42,$A6,'Cost and Timeline'!$O$2:$O$42,"Yes")</f>
        <v/>
      </c>
      <c r="C6" s="15">
        <f>SUMIFS('Cost and Timeline'!$J$2:$J$42,'Cost and Timeline'!$B$2:$B$42,$A6,'Cost and Timeline'!$O$2:$O$42,"Yes")</f>
        <v/>
      </c>
      <c r="D6" s="2">
        <f>COUNTIF('Cost and Timeline'!$B$2:$B$42,$A6)</f>
        <v/>
      </c>
    </row>
    <row r="7">
      <c r="A7" s="4" t="inlineStr">
        <is>
          <t>Trademark</t>
        </is>
      </c>
      <c r="B7" s="15">
        <f>SUMIFS('Cost and Timeline'!$I$2:$I$42,'Cost and Timeline'!$B$2:$B$42,$A7,'Cost and Timeline'!$O$2:$O$42,"Yes")</f>
        <v/>
      </c>
      <c r="C7" s="15">
        <f>SUMIFS('Cost and Timeline'!$J$2:$J$42,'Cost and Timeline'!$B$2:$B$42,$A7,'Cost and Timeline'!$O$2:$O$42,"Yes")</f>
        <v/>
      </c>
      <c r="D7" s="2">
        <f>COUNTIF('Cost and Timeline'!$B$2:$B$42,$A7)</f>
        <v/>
      </c>
    </row>
    <row r="8">
      <c r="A8" s="4" t="inlineStr">
        <is>
          <t>BIS</t>
        </is>
      </c>
      <c r="B8" s="15">
        <f>SUMIFS('Cost and Timeline'!$I$2:$I$42,'Cost and Timeline'!$B$2:$B$42,$A8,'Cost and Timeline'!$O$2:$O$42,"Yes")</f>
        <v/>
      </c>
      <c r="C8" s="15">
        <f>SUMIFS('Cost and Timeline'!$J$2:$J$42,'Cost and Timeline'!$B$2:$B$42,$A8,'Cost and Timeline'!$O$2:$O$42,"Yes")</f>
        <v/>
      </c>
      <c r="D8" s="2">
        <f>COUNTIF('Cost and Timeline'!$B$2:$B$42,$A8)</f>
        <v/>
      </c>
    </row>
    <row r="9">
      <c r="A9" s="4" t="inlineStr">
        <is>
          <t>Radio</t>
        </is>
      </c>
      <c r="B9" s="15">
        <f>SUMIFS('Cost and Timeline'!$I$2:$I$42,'Cost and Timeline'!$B$2:$B$42,$A9,'Cost and Timeline'!$O$2:$O$42,"Yes")</f>
        <v/>
      </c>
      <c r="C9" s="15">
        <f>SUMIFS('Cost and Timeline'!$J$2:$J$42,'Cost and Timeline'!$B$2:$B$42,$A9,'Cost and Timeline'!$O$2:$O$42,"Yes")</f>
        <v/>
      </c>
      <c r="D9" s="2">
        <f>COUNTIF('Cost and Timeline'!$B$2:$B$42,$A9)</f>
        <v/>
      </c>
    </row>
    <row r="10">
      <c r="A10" s="4" t="inlineStr">
        <is>
          <t>EPR</t>
        </is>
      </c>
      <c r="B10" s="15">
        <f>SUMIFS('Cost and Timeline'!$I$2:$I$42,'Cost and Timeline'!$B$2:$B$42,$A10,'Cost and Timeline'!$O$2:$O$42,"Yes")</f>
        <v/>
      </c>
      <c r="C10" s="15">
        <f>SUMIFS('Cost and Timeline'!$J$2:$J$42,'Cost and Timeline'!$B$2:$B$42,$A10,'Cost and Timeline'!$O$2:$O$42,"Yes")</f>
        <v/>
      </c>
      <c r="D10" s="2">
        <f>COUNTIF('Cost and Timeline'!$B$2:$B$42,$A10)</f>
        <v/>
      </c>
    </row>
    <row r="11">
      <c r="A11" s="4" t="inlineStr">
        <is>
          <t>Metrology</t>
        </is>
      </c>
      <c r="B11" s="15">
        <f>SUMIFS('Cost and Timeline'!$I$2:$I$42,'Cost and Timeline'!$B$2:$B$42,$A11,'Cost and Timeline'!$O$2:$O$42,"Yes")</f>
        <v/>
      </c>
      <c r="C11" s="15">
        <f>SUMIFS('Cost and Timeline'!$J$2:$J$42,'Cost and Timeline'!$B$2:$B$42,$A11,'Cost and Timeline'!$O$2:$O$42,"Yes")</f>
        <v/>
      </c>
      <c r="D11" s="2">
        <f>COUNTIF('Cost and Timeline'!$B$2:$B$42,$A11)</f>
        <v/>
      </c>
    </row>
    <row r="12">
      <c r="A12" s="4" t="inlineStr">
        <is>
          <t>Corporate</t>
        </is>
      </c>
      <c r="B12" s="15">
        <f>SUMIFS('Cost and Timeline'!$I$2:$I$42,'Cost and Timeline'!$B$2:$B$42,$A12,'Cost and Timeline'!$O$2:$O$42,"Yes")</f>
        <v/>
      </c>
      <c r="C12" s="15">
        <f>SUMIFS('Cost and Timeline'!$J$2:$J$42,'Cost and Timeline'!$B$2:$B$42,$A12,'Cost and Timeline'!$O$2:$O$42,"Yes")</f>
        <v/>
      </c>
      <c r="D12" s="2">
        <f>COUNTIF('Cost and Timeline'!$B$2:$B$42,$A12)</f>
        <v/>
      </c>
    </row>
    <row r="13">
      <c r="A13" s="4" t="inlineStr">
        <is>
          <t>Other</t>
        </is>
      </c>
      <c r="B13" s="15">
        <f>SUMIFS('Cost and Timeline'!$I$2:$I$42,'Cost and Timeline'!$B$2:$B$42,$A13,'Cost and Timeline'!$O$2:$O$42,"Yes")</f>
        <v/>
      </c>
      <c r="C13" s="15">
        <f>SUMIFS('Cost and Timeline'!$J$2:$J$42,'Cost and Timeline'!$B$2:$B$42,$A13,'Cost and Timeline'!$O$2:$O$42,"Yes")</f>
        <v/>
      </c>
      <c r="D13" s="2">
        <f>COUNTIF('Cost and Timeline'!$B$2:$B$42,$A13)</f>
        <v/>
      </c>
    </row>
    <row r="14">
      <c r="A14" s="12" t="inlineStr">
        <is>
          <t>TOTAL</t>
        </is>
      </c>
      <c r="B14" s="13">
        <f>SUM(B5:B13)</f>
        <v/>
      </c>
      <c r="C14" s="13">
        <f>SUM(C5:C13)</f>
        <v/>
      </c>
    </row>
    <row r="16">
      <c r="A16" s="2" t="inlineStr">
        <is>
          <t>Reality check: the first twelve months, done properly — DPIIT recognition, prior art search, one design filing, one thick provisional, MOA alteration, three trademark classes — is realistically Rs 1.5-3 lakh. Certification and EPR land later and are a separate, larger bill.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82" customWidth="1" min="3" max="3"/>
    <col width="17" customWidth="1" min="4" max="4"/>
  </cols>
  <sheetData>
    <row r="1">
      <c r="A1" s="1" t="inlineStr">
        <is>
          <t>Hard Deadlines — missing these destroys rights</t>
        </is>
      </c>
    </row>
    <row r="2">
      <c r="A2" s="2" t="inlineStr">
        <is>
          <t>Read this tab before anything else. Several of these cannot be cured at any price.</t>
        </is>
      </c>
    </row>
    <row r="4">
      <c r="A4" s="16" t="inlineStr">
        <is>
          <t>Deadline</t>
        </is>
      </c>
      <c r="B4" s="16" t="inlineStr">
        <is>
          <t>What is due</t>
        </is>
      </c>
      <c r="C4" s="16" t="inlineStr">
        <is>
          <t>Consequence of missing it</t>
        </is>
      </c>
      <c r="D4" s="16" t="inlineStr">
        <is>
          <t>Severity</t>
        </is>
      </c>
    </row>
    <row r="5">
      <c r="A5" s="6" t="inlineStr">
        <is>
          <t>Provisional + 6 weeks (or Form 25 FFL)</t>
        </is>
      </c>
      <c r="B5" s="6" t="inlineStr">
        <is>
          <t>Section 39 clearance before ANY foreign filing</t>
        </is>
      </c>
      <c r="C5" s="6" t="inlineStr">
        <is>
          <t>CRIMINAL OFFENCE under s.118 - up to 2 years imprisonment. Application deemed abandoned (s.40). Patent revocable (s.64). Liability can extend beyond the named inventor to whoever authorised the filing.</t>
        </is>
      </c>
      <c r="D5" s="10" t="inlineStr">
        <is>
          <t>CRIMINAL</t>
        </is>
      </c>
    </row>
    <row r="6">
      <c r="A6" s="6" t="inlineStr">
        <is>
          <t>Provisional + 12 months</t>
        </is>
      </c>
      <c r="B6" s="6" t="inlineStr">
        <is>
          <t>Complete specification</t>
        </is>
      </c>
      <c r="C6" s="6" t="inlineStr">
        <is>
          <t>ABSOLUTE. No extension, no condonation, no post-dating. Application abandoned, priority lost.</t>
        </is>
      </c>
      <c r="D6" s="10" t="inlineStr">
        <is>
          <t>FATAL</t>
        </is>
      </c>
    </row>
    <row r="7">
      <c r="A7" s="6" t="inlineStr">
        <is>
          <t>Provisional + 12 months</t>
        </is>
      </c>
      <c r="B7" s="6" t="inlineStr">
        <is>
          <t>PCT / Paris Convention patent filings</t>
        </is>
      </c>
      <c r="C7" s="6" t="inlineStr">
        <is>
          <t>All foreign patent rights lost permanently.</t>
        </is>
      </c>
      <c r="D7" s="10" t="inlineStr">
        <is>
          <t>FATAL</t>
        </is>
      </c>
    </row>
    <row r="8">
      <c r="A8" s="6" t="inlineStr">
        <is>
          <t>Before any public disclosure</t>
        </is>
      </c>
      <c r="B8" s="6" t="inlineStr">
        <is>
          <t>Design application AND patent provisional on file</t>
        </is>
      </c>
      <c r="C8" s="6" t="inlineStr">
        <is>
          <t>India is an absolute-novelty jurisdiction. s.31 is exhibition-and-Gazette-tied, not a general grace period, and since 15 Mar 2024 is not self-executing (Rule 29A / Form 31). Designs have NO general grace period at all.</t>
        </is>
      </c>
      <c r="D8" s="10" t="inlineStr">
        <is>
          <t>FATAL</t>
        </is>
      </c>
    </row>
    <row r="9">
      <c r="A9" s="6" t="inlineStr">
        <is>
          <t>Provisional + 6 months</t>
        </is>
      </c>
      <c r="B9" s="6" t="inlineStr">
        <is>
          <t>Proof of right on file (Rule 138: max 1 month extension, requested within the six)</t>
        </is>
      </c>
      <c r="C9" s="6" t="inlineStr">
        <is>
          <t>Objection raised. Whether a late or defective proof of right is curable is UNKNOWN - unresolved Madras HC point.</t>
        </is>
      </c>
      <c r="D9" s="11" t="inlineStr">
        <is>
          <t>HIGH</t>
        </is>
      </c>
    </row>
    <row r="10">
      <c r="A10" s="6" t="inlineStr">
        <is>
          <t>Provisional + 6 months</t>
        </is>
      </c>
      <c r="B10" s="6" t="inlineStr">
        <is>
          <t>Paris Convention design priority window if filing abroad</t>
        </is>
      </c>
      <c r="C10" s="6" t="inlineStr">
        <is>
          <t>Foreign design rights lost.</t>
        </is>
      </c>
      <c r="D10" s="11" t="inlineStr">
        <is>
          <t>HIGH</t>
        </is>
      </c>
    </row>
    <row r="11">
      <c r="A11" s="6" t="inlineStr">
        <is>
          <t>Before unit no. 51 exists</t>
        </is>
      </c>
      <c r="B11" s="6" t="inlineStr">
        <is>
          <t>Design registration on file</t>
        </is>
      </c>
      <c r="C11" s="6" t="inlineStr">
        <is>
          <t>Copyright Act s.15(2) extinguishes your fallback copyright after 50 industrial reproductions.</t>
        </is>
      </c>
      <c r="D11" s="11" t="inlineStr">
        <is>
          <t>HIGH</t>
        </is>
      </c>
    </row>
    <row r="12">
      <c r="A12" s="6" t="inlineStr">
        <is>
          <t>Earliest priority + 31 months</t>
        </is>
      </c>
      <c r="B12" s="6" t="inlineStr">
        <is>
          <t>RFE (Form 18) AND PCT national phase - SAME DATE now</t>
        </is>
      </c>
      <c r="C12" s="6" t="inlineStr">
        <is>
          <t>Application deemed withdrawn. The 2024 Rules merged these; docket as one date.</t>
        </is>
      </c>
      <c r="D12" s="10" t="inlineStr">
        <is>
          <t>FATAL</t>
        </is>
      </c>
    </row>
    <row r="13">
      <c r="A13" s="6" t="inlineStr">
        <is>
          <t>Within 30 days of the resolution</t>
        </is>
      </c>
      <c r="B13" s="6" t="inlineStr">
        <is>
          <t>MGT-14 for the objects alteration</t>
        </is>
      </c>
      <c r="C13" s="6" t="inlineStr">
        <is>
          <t>Doubled fee up to 30 days, escalating thereafter.</t>
        </is>
      </c>
      <c r="D13" s="7" t="inlineStr">
        <is>
          <t>MEDIUM</t>
        </is>
      </c>
    </row>
    <row r="14">
      <c r="A14" s="6" t="inlineStr">
        <is>
          <t>Within 90 days of commencing pre-packing</t>
        </is>
      </c>
      <c r="B14" s="6" t="inlineStr">
        <is>
          <t>Legal Metrology Rule 27 registration</t>
        </is>
      </c>
      <c r="C14" s="6" t="inlineStr">
        <is>
          <t>Rs 4,000 fine is trivial - but non-standard packages are Rs 25,000-1,00,000 PER OFFENCE.</t>
        </is>
      </c>
      <c r="D14" s="7" t="inlineStr">
        <is>
          <t>MEDIUM</t>
        </is>
      </c>
    </row>
    <row r="15">
      <c r="A15" s="6" t="inlineStr">
        <is>
          <t>1 October 2026 — CHECK THIS WEEK</t>
        </is>
      </c>
      <c r="B15" s="6" t="inlineStr">
        <is>
          <t>Appliances QCO 2026 comes into force</t>
        </is>
      </c>
      <c r="C15" s="6" t="inlineStr">
        <is>
          <t>Product list was not readable from this environment. Possible Scheme I ISI obligation. Verify immediately.</t>
        </is>
      </c>
      <c r="D15" s="10" t="inlineStr">
        <is>
          <t>URGENT - VERIFY</t>
        </is>
      </c>
    </row>
    <row r="16">
      <c r="A16" s="6" t="inlineStr">
        <is>
          <t>2 February 2027</t>
        </is>
      </c>
      <c r="B16" s="6" t="inlineStr">
        <is>
          <t>End of IS 10322:2026 concurrent-run period</t>
        </is>
      </c>
      <c r="C16" s="6" t="inlineStr">
        <is>
          <t>Registrations not updated to the 2026 versions 'can be removed'.</t>
        </is>
      </c>
      <c r="D16" s="11" t="inlineStr">
        <is>
          <t>HIGH</t>
        </is>
      </c>
    </row>
    <row r="17">
      <c r="A17" s="6" t="inlineStr">
        <is>
          <t>30 April 2027</t>
        </is>
      </c>
      <c r="B17" s="6" t="inlineStr">
        <is>
          <t>Battery rated-capacity verification per IS 16047 Pt 3</t>
        </is>
      </c>
      <c r="C17" s="6" t="inlineStr">
        <is>
          <t>Licence validity.</t>
        </is>
      </c>
      <c r="D17" s="7" t="inlineStr">
        <is>
          <t>MEDIUM</t>
        </is>
      </c>
    </row>
    <row r="18">
      <c r="A18" s="6" t="inlineStr">
        <is>
          <t>~May 2027 (13 or 14 - verify)</t>
        </is>
      </c>
      <c r="B18" s="6" t="inlineStr">
        <is>
          <t>DPDP Act substantive obligations commence</t>
        </is>
      </c>
      <c r="C18" s="6" t="inlineStr">
        <is>
          <t>Book one day of counsel in Q1 2027. Not in force before then and the Board has no members appointed.</t>
        </is>
      </c>
      <c r="D18" s="7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86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Priority-Ordered Action Plan</t>
        </is>
      </c>
    </row>
    <row r="2">
      <c r="A2" s="2" t="inlineStr">
        <is>
          <t>Sequencing matters more than speed. Phase 0 items destroy rights permanently if done out of order.</t>
        </is>
      </c>
    </row>
    <row r="3">
      <c r="A3" s="17" t="inlineStr">
        <is>
          <t>Owner, Target date and Status are for you to fill in.</t>
        </is>
      </c>
    </row>
    <row r="5">
      <c r="A5" s="16" t="inlineStr">
        <is>
          <t>#</t>
        </is>
      </c>
      <c r="B5" s="16" t="inlineStr">
        <is>
          <t>Phase</t>
        </is>
      </c>
      <c r="C5" s="16" t="inlineStr">
        <is>
          <t>Action</t>
        </is>
      </c>
      <c r="D5" s="16" t="inlineStr">
        <is>
          <t>Why it is in this position</t>
        </is>
      </c>
      <c r="E5" s="16" t="inlineStr">
        <is>
          <t>Owner</t>
        </is>
      </c>
      <c r="F5" s="16" t="inlineStr">
        <is>
          <t>Target date</t>
        </is>
      </c>
      <c r="G5" s="16" t="inlineStr">
        <is>
          <t>Status</t>
        </is>
      </c>
    </row>
    <row r="6">
      <c r="A6" s="6" t="n">
        <v>1</v>
      </c>
      <c r="B6" s="18" t="inlineStr">
        <is>
          <t>0 — Before anything leaves the building</t>
        </is>
      </c>
      <c r="C6" s="7" t="inlineStr">
        <is>
          <t>Stop all external disclosure now</t>
        </is>
      </c>
      <c r="D6" s="6" t="inlineStr">
        <is>
          <t>No photos, renders, demos, decks with product imagery, public repo, press, crowdfunding or trade show. Every day of exposure is irreversible.</t>
        </is>
      </c>
      <c r="E6" s="19" t="inlineStr"/>
      <c r="F6" s="19" t="inlineStr"/>
      <c r="G6" s="19" t="inlineStr"/>
    </row>
    <row r="7">
      <c r="A7" s="6" t="n">
        <v>2</v>
      </c>
      <c r="B7" s="18" t="inlineStr">
        <is>
          <t>0</t>
        </is>
      </c>
      <c r="C7" s="7" t="inlineStr">
        <is>
          <t>Get DPIIT Startup recognition and/or Udyam MSME registration</t>
        </is>
      </c>
      <c r="D7" s="6" t="inlineStr">
        <is>
          <t>Free. Roughly halves every patent, design and trademark official fee. Must be IN HAND at filing - Form 28 for patents, Form 24 for designs.</t>
        </is>
      </c>
      <c r="E7" s="19" t="inlineStr"/>
      <c r="F7" s="19" t="inlineStr"/>
      <c r="G7" s="19" t="inlineStr"/>
    </row>
    <row r="8">
      <c r="A8" s="6" t="n">
        <v>3</v>
      </c>
      <c r="B8" s="18" t="inlineStr">
        <is>
          <t>0</t>
        </is>
      </c>
      <c r="C8" s="7" t="inlineStr">
        <is>
          <t>Read your filed MOA from MCA21</t>
        </is>
      </c>
      <c r="D8" s="6" t="inlineStr">
        <is>
          <t>Answer whether it authorises manufacture. View Public Documents on mca.gov.in.</t>
        </is>
      </c>
      <c r="E8" s="19" t="inlineStr"/>
      <c r="F8" s="19" t="inlineStr"/>
      <c r="G8" s="19" t="inlineStr"/>
    </row>
    <row r="9">
      <c r="A9" s="6" t="n">
        <v>4</v>
      </c>
      <c r="B9" s="18" t="inlineStr">
        <is>
          <t>0</t>
        </is>
      </c>
      <c r="C9" s="7" t="inlineStr">
        <is>
          <t>Commission the professional prior art / FTO search</t>
        </is>
      </c>
      <c r="D9" s="6" t="inlineStr">
        <is>
          <t>CPC H05B47/105, /11, /115, /155, /165, /19 and G05B13/*, plus battery contact geometry and dead-until-mated. Gates BOTH the sweep filing scope and the ring-contact go/no-go. Do it before paying for a complete specification.</t>
        </is>
      </c>
      <c r="E9" s="19" t="inlineStr"/>
      <c r="F9" s="19" t="inlineStr"/>
      <c r="G9" s="19" t="inlineStr"/>
    </row>
    <row r="10">
      <c r="A10" s="6" t="n">
        <v>5</v>
      </c>
      <c r="B10" s="18" t="inlineStr">
        <is>
          <t>0</t>
        </is>
      </c>
      <c r="C10" s="7" t="inlineStr">
        <is>
          <t>Answer: do school fee payments ever settle into a Modulark account, even briefly?</t>
        </is>
      </c>
      <c r="D10" s="6" t="inlineStr">
        <is>
          <t>If yes, that is unauthorised payment aggregation. The authorisation threshold is Rs 15 crore net worth. Fix the fund flow immediately.</t>
        </is>
      </c>
      <c r="E10" s="19" t="inlineStr"/>
      <c r="F10" s="19" t="inlineStr"/>
      <c r="G10" s="19" t="inlineStr"/>
    </row>
    <row r="11">
      <c r="A11" s="6" t="n">
        <v>6</v>
      </c>
      <c r="B11" s="18" t="inlineStr">
        <is>
          <t>0</t>
        </is>
      </c>
      <c r="C11" s="7" t="inlineStr">
        <is>
          <t>Incorporate the hardware company via SPICe+</t>
        </is>
      </c>
      <c r="D11" s="6" t="inlineStr">
        <is>
          <t>With a manufacturing objects clause and NIC code from the start.</t>
        </is>
      </c>
      <c r="E11" s="19" t="inlineStr"/>
      <c r="F11" s="19" t="inlineStr"/>
      <c r="G11" s="19" t="inlineStr"/>
    </row>
    <row r="12">
      <c r="A12" s="6" t="n">
        <v>7</v>
      </c>
      <c r="B12" s="18" t="inlineStr">
        <is>
          <t>0</t>
        </is>
      </c>
      <c r="C12" s="7" t="inlineStr">
        <is>
          <t>Put employment / contractor / CM IP clauses in place</t>
        </is>
      </c>
      <c r="D12" s="6" t="inlineStr">
        <is>
          <t>Present-tense assignment, further assurances, POA, enumerated confidentiality, designer portfolio prohibition. BEFORE the next person touches the design. Patent rights need EXPRESS assignment - unlike copyright they do not vest automatically.</t>
        </is>
      </c>
      <c r="E12" s="19" t="inlineStr"/>
      <c r="F12" s="19" t="inlineStr"/>
      <c r="G12" s="19" t="inlineStr"/>
    </row>
    <row r="13">
      <c r="A13" s="6" t="n">
        <v>8</v>
      </c>
      <c r="B13" s="18" t="inlineStr">
        <is>
          <t>1 — File</t>
        </is>
      </c>
      <c r="C13" s="7" t="inlineStr">
        <is>
          <t>Freeze the industrial design</t>
        </is>
      </c>
      <c r="D13" s="6" t="inlineStr">
        <is>
          <t>-</t>
        </is>
      </c>
      <c r="E13" s="19" t="inlineStr"/>
      <c r="F13" s="19" t="inlineStr"/>
      <c r="G13" s="19" t="inlineStr"/>
    </row>
    <row r="14">
      <c r="A14" s="6" t="n">
        <v>9</v>
      </c>
      <c r="B14" s="6" t="inlineStr">
        <is>
          <t>1</t>
        </is>
      </c>
      <c r="C14" s="7" t="inlineStr">
        <is>
          <t>File the Indian design application(s) in Locarno 26-05</t>
        </is>
      </c>
      <c r="D14" s="6" t="inlineStr">
        <is>
          <t>Assembled module, light head and wall disc as separate designs. Detail-specific statement of novelty. Form 24 plus DPIIT/Udyam certificate. FILE INDIA FIRST.</t>
        </is>
      </c>
      <c r="E14" s="19" t="inlineStr"/>
      <c r="F14" s="19" t="inlineStr"/>
      <c r="G14" s="19" t="inlineStr"/>
    </row>
    <row r="15">
      <c r="A15" s="6" t="n">
        <v>10</v>
      </c>
      <c r="B15" s="6" t="inlineStr">
        <is>
          <t>1</t>
        </is>
      </c>
      <c r="C15" s="7" t="inlineStr">
        <is>
          <t>File the patent provisional, same day or immediately after</t>
        </is>
      </c>
      <c r="D15" s="6" t="inlineStr">
        <is>
          <t>Applicant = the hardware company. Proof of right via Form 1 declaration or pre-dated assignment deed. Make it THICK: sensing node construction, sweep procedure with settling times, daylight estimation, constraint set, wireless path, real numbers, every variant you may ever claim.</t>
        </is>
      </c>
      <c r="E15" s="19" t="inlineStr"/>
      <c r="F15" s="19" t="inlineStr"/>
      <c r="G15" s="19" t="inlineStr"/>
    </row>
    <row r="16">
      <c r="A16" s="6" t="n">
        <v>11</v>
      </c>
      <c r="B16" s="6" t="inlineStr">
        <is>
          <t>1</t>
        </is>
      </c>
      <c r="C16" s="7" t="inlineStr">
        <is>
          <t>Get the application numbers in hand</t>
        </is>
      </c>
      <c r="D16" s="6" t="inlineStr">
        <is>
          <t>Only now does Phase 2 open. This is the gate.</t>
        </is>
      </c>
      <c r="E16" s="19" t="inlineStr"/>
      <c r="F16" s="19" t="inlineStr"/>
      <c r="G16" s="19" t="inlineStr"/>
    </row>
    <row r="17">
      <c r="A17" s="6" t="n">
        <v>12</v>
      </c>
      <c r="B17" s="6" t="inlineStr">
        <is>
          <t>3 — Long lead times</t>
        </is>
      </c>
      <c r="C17" s="7" t="inlineStr">
        <is>
          <t>Amend the objects clause</t>
        </is>
      </c>
      <c r="D17" s="6" t="inlineStr">
        <is>
          <t>2-3 weeks on shorter notice. Run in parallel with Phase 1.</t>
        </is>
      </c>
      <c r="E17" s="19" t="inlineStr"/>
      <c r="F17" s="19" t="inlineStr"/>
      <c r="G17" s="19" t="inlineStr"/>
    </row>
    <row r="18">
      <c r="A18" s="6" t="n">
        <v>13</v>
      </c>
      <c r="B18" s="6" t="inlineStr">
        <is>
          <t>3</t>
        </is>
      </c>
      <c r="C18" s="7" t="inlineStr">
        <is>
          <t>Run trademark clearance searches; file TM-A for MODULARK in Classes 11, 9, 42</t>
        </is>
      </c>
      <c r="D18" s="6" t="inlineStr">
        <is>
          <t>Free to search. A TM filing does not disclose the product, so it is safe to run in parallel. Start using the TM symbol immediately. Fix naming BEFORE tooling and packaging.</t>
        </is>
      </c>
      <c r="E18" s="19" t="inlineStr"/>
      <c r="F18" s="19" t="inlineStr"/>
      <c r="G18" s="19" t="inlineStr"/>
    </row>
    <row r="19">
      <c r="A19" s="6" t="n">
        <v>14</v>
      </c>
      <c r="B19" s="6" t="inlineStr">
        <is>
          <t>3</t>
        </is>
      </c>
      <c r="C19" s="7" t="inlineStr">
        <is>
          <t>Settle the BIS classification question in writing with BIS</t>
        </is>
      </c>
      <c r="D19" s="6" t="inlineStr">
        <is>
          <t>Pull the CRS FAQ portable/battery exemption text. Everything downstream depends on it - it potentially removes the luminaire from CRS entirely.</t>
        </is>
      </c>
      <c r="E19" s="19" t="inlineStr"/>
      <c r="F19" s="19" t="inlineStr"/>
      <c r="G19" s="19" t="inlineStr"/>
    </row>
    <row r="20">
      <c r="A20" s="6" t="n">
        <v>15</v>
      </c>
      <c r="B20" s="6" t="inlineStr">
        <is>
          <t>3</t>
        </is>
      </c>
      <c r="C20" s="7" t="inlineStr">
        <is>
          <t>Ask a BIS-recognised lab whether they will test an additively-manufactured enclosure</t>
        </is>
      </c>
      <c r="D20" s="6" t="inlineStr">
        <is>
          <t>Cheap, and it converts the biggest inference in this research into a fact.</t>
        </is>
      </c>
      <c r="E20" s="19" t="inlineStr"/>
      <c r="F20" s="19" t="inlineStr"/>
      <c r="G20" s="19" t="inlineStr"/>
    </row>
    <row r="21">
      <c r="A21" s="6" t="n">
        <v>16</v>
      </c>
      <c r="B21" s="6" t="inlineStr">
        <is>
          <t>3</t>
        </is>
      </c>
      <c r="C21" s="7" t="inlineStr">
        <is>
          <t>Confirm lithium cell vendor CRS status; quote IS 16046 Pt 2 pack registration; get radio module ETA + EN 300 328 report</t>
        </is>
      </c>
      <c r="D21" s="6" t="inlineStr">
        <is>
          <t>The pack needs its own BIS registration - certified cells are a precondition, not a substitute.</t>
        </is>
      </c>
      <c r="E21" s="19" t="inlineStr"/>
      <c r="F21" s="19" t="inlineStr"/>
      <c r="G21" s="19" t="inlineStr"/>
    </row>
    <row r="22">
      <c r="A22" s="6" t="n">
        <v>17</v>
      </c>
      <c r="B22" s="6" t="inlineStr">
        <is>
          <t>3</t>
        </is>
      </c>
      <c r="C22" s="7" t="inlineStr">
        <is>
          <t>Get a broker to test the product liability insurance market BEFORE design freeze</t>
        </is>
      </c>
      <c r="D22" s="6" t="inlineStr">
        <is>
          <t>If cover is unobtainable or the lithium exclusion is unmovable, that is a design input, not an afterthought. Recall cost is excluded from standard Indian policies.</t>
        </is>
      </c>
      <c r="E22" s="19" t="inlineStr"/>
      <c r="F22" s="19" t="inlineStr"/>
      <c r="G22" s="19" t="inlineStr"/>
    </row>
    <row r="23">
      <c r="A23" s="6" t="n">
        <v>18</v>
      </c>
      <c r="B23" s="6" t="inlineStr">
        <is>
          <t>3</t>
        </is>
      </c>
      <c r="C23" s="7" t="inlineStr">
        <is>
          <t>CAAR advance ruling on PCBA classification; s.97 CGST advance ruling on the kit</t>
        </is>
      </c>
      <c r="D23" s="6" t="inlineStr">
        <is>
          <t>Before the first commercial consignment and before you set an MRP. The 9405 GST rate is unresolved and the kit is a mixed-supply trap.</t>
        </is>
      </c>
      <c r="E23" s="19" t="inlineStr"/>
      <c r="F23" s="19" t="inlineStr"/>
      <c r="G23" s="19" t="inlineStr"/>
    </row>
    <row r="24">
      <c r="A24" s="6" t="n">
        <v>19</v>
      </c>
      <c r="B24" s="6" t="inlineStr">
        <is>
          <t>3</t>
        </is>
      </c>
      <c r="C24" s="7" t="inlineStr">
        <is>
          <t>Build the substantiation file and claims register</t>
        </is>
      </c>
      <c r="D24" s="6" t="inlineStr">
        <is>
          <t>Before any advertisement runs. Covers both the sensor claim and CRI.</t>
        </is>
      </c>
      <c r="E24" s="19" t="inlineStr"/>
      <c r="F24" s="19" t="inlineStr"/>
      <c r="G24" s="19" t="inlineStr"/>
    </row>
    <row r="25">
      <c r="A25" s="6" t="n">
        <v>20</v>
      </c>
      <c r="B25" s="6" t="inlineStr">
        <is>
          <t>3</t>
        </is>
      </c>
      <c r="C25" s="7" t="inlineStr">
        <is>
          <t>Write the Confidential Information Register; turn on device-side lockdown</t>
        </is>
      </c>
      <c r="D25" s="6" t="inlineStr">
        <is>
          <t>Current silicon revision, eFuses, encrypted model blob, per-device keys, unprogrammed boards from the CM.</t>
        </is>
      </c>
      <c r="E25" s="19" t="inlineStr"/>
      <c r="F25" s="19" t="inlineStr"/>
      <c r="G25" s="19" t="inlineStr"/>
    </row>
    <row r="26">
      <c r="A26" s="6" t="n">
        <v>21</v>
      </c>
      <c r="B26" s="6" t="inlineStr">
        <is>
          <t>3</t>
        </is>
      </c>
      <c r="C26" s="7" t="inlineStr">
        <is>
          <t>E-waste EPR and Battery EPR registrations</t>
        </is>
      </c>
      <c r="D26" s="6" t="inlineStr">
        <is>
          <t>Two portals, two calendars. Before placing product on the market. No small-producer exemption exists.</t>
        </is>
      </c>
      <c r="E26" s="19" t="inlineStr"/>
      <c r="F26" s="19" t="inlineStr"/>
      <c r="G26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2026-09-22T14:04:52Z</dcterms:created>
  <dcterms:modified xsi:type="dcterms:W3CDTF">2026-09-22T14:04:52Z</dcterms:modified>
</cp:coreProperties>
</file>